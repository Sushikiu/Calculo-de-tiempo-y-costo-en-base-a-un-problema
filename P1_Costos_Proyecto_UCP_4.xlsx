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ostos Indirectos" sheetId="1" state="visible" r:id="rId3"/>
    <sheet name="Hw&amp;SW" sheetId="2" state="visible" r:id="rId4"/>
    <sheet name="Sueldos" sheetId="3" state="visible" r:id="rId5"/>
    <sheet name="Otros" sheetId="4" state="visible" r:id="rId6"/>
    <sheet name="TotalProyecto" sheetId="5" state="visible" r:id="rId7"/>
    <sheet name="UUCP" sheetId="6" state="visible" r:id="rId8"/>
    <sheet name="DistribuciónEsfuerz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<sst xmlns="http://schemas.openxmlformats.org/spreadsheetml/2006/main" count="238" uniqueCount="156">
  <si>
    <t xml:space="preserve">Costos</t>
  </si>
  <si>
    <t xml:space="preserve">Descripción</t>
  </si>
  <si>
    <t xml:space="preserve">Anual</t>
  </si>
  <si>
    <t xml:space="preserve">Mensual</t>
  </si>
  <si>
    <t xml:space="preserve">Costo/empleado</t>
  </si>
  <si>
    <t xml:space="preserve">Empleados</t>
  </si>
  <si>
    <t xml:space="preserve">Renta</t>
  </si>
  <si>
    <t xml:space="preserve">Luz</t>
  </si>
  <si>
    <t xml:space="preserve">Agua</t>
  </si>
  <si>
    <t xml:space="preserve">Limpieza</t>
  </si>
  <si>
    <t xml:space="preserve">Papelería</t>
  </si>
  <si>
    <t xml:space="preserve">Varios</t>
  </si>
  <si>
    <t xml:space="preserve">Caja</t>
  </si>
  <si>
    <t xml:space="preserve">Total</t>
  </si>
  <si>
    <t xml:space="preserve">Infraestructura</t>
  </si>
  <si>
    <t xml:space="preserve">Número</t>
  </si>
  <si>
    <t xml:space="preserve">Costo Unitario</t>
  </si>
  <si>
    <t xml:space="preserve">Costo por proyecto</t>
  </si>
  <si>
    <t xml:space="preserve">Número de meses de duración</t>
  </si>
  <si>
    <t xml:space="preserve">Laptop Pavilion HP</t>
  </si>
  <si>
    <t xml:space="preserve">Empleados proyecto</t>
  </si>
  <si>
    <t xml:space="preserve">Apple - MacBook Pro de 13" - Core i5 - Iris Plus 655 - Memoria de 8GB - SSD de 256GB</t>
  </si>
  <si>
    <t xml:space="preserve">Laptop Dell</t>
  </si>
  <si>
    <t xml:space="preserve">Dell - Laptop INSPIRON 5584 I5 de 15.6" - Core i5 - GeForce MX130 - Memoria 8GB</t>
  </si>
  <si>
    <t xml:space="preserve">Amazon Cloud</t>
  </si>
  <si>
    <t xml:space="preserve">Ofiice 365</t>
  </si>
  <si>
    <t xml:space="preserve">Visual Studio</t>
  </si>
  <si>
    <t xml:space="preserve">Totales</t>
  </si>
  <si>
    <t xml:space="preserve">Sueldos</t>
  </si>
  <si>
    <t xml:space="preserve">Puesto</t>
  </si>
  <si>
    <t xml:space="preserve">Recursos Proyecto</t>
  </si>
  <si>
    <t xml:space="preserve">Total Mensual</t>
  </si>
  <si>
    <t xml:space="preserve">Total Proyecto</t>
  </si>
  <si>
    <t xml:space="preserve">Tiempo a Utilizar</t>
  </si>
  <si>
    <t xml:space="preserve">Analista</t>
  </si>
  <si>
    <t xml:space="preserve">Diseñador</t>
  </si>
  <si>
    <t xml:space="preserve">Arquitecto SW</t>
  </si>
  <si>
    <t xml:space="preserve">Programador</t>
  </si>
  <si>
    <t xml:space="preserve">Tester</t>
  </si>
  <si>
    <t xml:space="preserve">Dirección Proyecto</t>
  </si>
  <si>
    <t xml:space="preserve">Scrum Master</t>
  </si>
  <si>
    <t xml:space="preserve">Implementador</t>
  </si>
  <si>
    <t xml:space="preserve">Change Management</t>
  </si>
  <si>
    <t xml:space="preserve">DBA</t>
  </si>
  <si>
    <t xml:space="preserve">Otros Costos</t>
  </si>
  <si>
    <t xml:space="preserve">Nùmero</t>
  </si>
  <si>
    <t xml:space="preserve">Costo</t>
  </si>
  <si>
    <t xml:space="preserve">Viaje 1</t>
  </si>
  <si>
    <t xml:space="preserve">Viaje 2</t>
  </si>
  <si>
    <t xml:space="preserve">Resumen Costos</t>
  </si>
  <si>
    <t xml:space="preserve">Descripciòn</t>
  </si>
  <si>
    <t xml:space="preserve">%</t>
  </si>
  <si>
    <t xml:space="preserve">Tiempo</t>
  </si>
  <si>
    <t xml:space="preserve">Indirectos</t>
  </si>
  <si>
    <t xml:space="preserve">Otros</t>
  </si>
  <si>
    <t xml:space="preserve">Ganancia</t>
  </si>
  <si>
    <t xml:space="preserve">Total Propuesto</t>
  </si>
  <si>
    <t xml:space="preserve">ESTIMACIÓN DE ESFUERZO</t>
  </si>
  <si>
    <t xml:space="preserve">Factor de Peso Actores</t>
  </si>
  <si>
    <t xml:space="preserve">Peso</t>
  </si>
  <si>
    <t xml:space="preserve">Valor ponderado</t>
  </si>
  <si>
    <t xml:space="preserve">Comentario</t>
  </si>
  <si>
    <t xml:space="preserve">Simple</t>
  </si>
  <si>
    <t xml:space="preserve">API Programa</t>
  </si>
  <si>
    <t xml:space="preserve">Intermedio</t>
  </si>
  <si>
    <t xml:space="preserve">WS</t>
  </si>
  <si>
    <t xml:space="preserve">Complejo</t>
  </si>
  <si>
    <t xml:space="preserve">Humano con GUI</t>
  </si>
  <si>
    <t xml:space="preserve">Peso Total Actores</t>
  </si>
  <si>
    <t xml:space="preserve">Factor de Peso Casos de Uso (Basado en el número de transacciones en el CU)</t>
  </si>
  <si>
    <t xml:space="preserve">3 ó menos escenarios</t>
  </si>
  <si>
    <t xml:space="preserve">4 a 7 escenarios</t>
  </si>
  <si>
    <t xml:space="preserve">más de 7 escenarios</t>
  </si>
  <si>
    <t xml:space="preserve">Factores Basados en Transacciones</t>
  </si>
  <si>
    <t xml:space="preserve">Puntos de CU No Ajustados</t>
  </si>
  <si>
    <t xml:space="preserve">Factores de Peso Técnicos</t>
  </si>
  <si>
    <t xml:space="preserve">Escala de asignación</t>
  </si>
  <si>
    <t xml:space="preserve">Razón</t>
  </si>
  <si>
    <t xml:space="preserve">T1  Sistema Distribuido</t>
  </si>
  <si>
    <t xml:space="preserve">0=no importante  5=esencial</t>
  </si>
  <si>
    <t xml:space="preserve">REST y GraphQL como servicios independientes sobre la misma BD, integración con España y expansión a más sedes.</t>
  </si>
  <si>
    <t xml:space="preserve">T2  Objetivos de Desempeño o Tiempo de Respuesta</t>
  </si>
  <si>
    <t xml:space="preserve">Apartado de clase con límite estricto de 5 minutos y alto volumen de alumnos concurrentes.</t>
  </si>
  <si>
    <t xml:space="preserve">T3  Eficiencia Usuario Final (online)</t>
  </si>
  <si>
    <t xml:space="preserve">Diseño intuitivo y responsivo con ayuda en línea en todos los campos, requisito explícito del problema.</t>
  </si>
  <si>
    <t xml:space="preserve">T4  Procesamiento Interno Complejo</t>
  </si>
  <si>
    <t xml:space="preserve">Reglas de negocio complejas: precios variables, descuentos, penalizaciones, calificación automática, transferencia del 10%.</t>
  </si>
  <si>
    <t xml:space="preserve">T5  Código Debe Ser Reusable</t>
  </si>
  <si>
    <t xml:space="preserve">Soporte genérico para cualquier idioma y nivel dado de alta.</t>
  </si>
  <si>
    <t xml:space="preserve">T6  Facilidad de Instalación</t>
  </si>
  <si>
    <t xml:space="preserve">Contenedorización (Docker) para instalación consistente.</t>
  </si>
  <si>
    <t xml:space="preserve">T7  Facilidad de Uso</t>
  </si>
  <si>
    <t xml:space="preserve">Requisito explícito: diseño intuitivo, sin necesidad de capacitación.</t>
  </si>
  <si>
    <t xml:space="preserve">T8  Portabilidad</t>
  </si>
  <si>
    <t xml:space="preserve">Arquitectura con servicios independientes pensada para escalar a más edificios y sedes.</t>
  </si>
  <si>
    <t xml:space="preserve">T9  Facilidad de Cambio</t>
  </si>
  <si>
    <t xml:space="preserve">Idiomas, niveles, precios y exámenes configurables sin tocar código.</t>
  </si>
  <si>
    <t xml:space="preserve">T10 Concurrencia</t>
  </si>
  <si>
    <t xml:space="preserve">Alta concurrencia esperada en agendado de sesiones y disponibilidad de salones en tiempo real.</t>
  </si>
  <si>
    <t xml:space="preserve">T11 Incluye Características Especiales de Seguridad</t>
  </si>
  <si>
    <t xml:space="preserve">Datos sensibles: tarjetas de crédito, CLABE de profesores, credenciales de acceso.</t>
  </si>
  <si>
    <t xml:space="preserve">T12 Provee Acceso Directo a Terceros</t>
  </si>
  <si>
    <t xml:space="preserve">Servicios REST y GraphQL públicos, más web service con corporativo de España.</t>
  </si>
  <si>
    <t xml:space="preserve">T13 Se Requieren Ayudas Especiales de Entrenamiento de Usuarios </t>
  </si>
  <si>
    <t xml:space="preserve">Ayuda en línea exigida en todos los campos para evitar capacitación formal.</t>
  </si>
  <si>
    <t xml:space="preserve">Factores Técnicos</t>
  </si>
  <si>
    <t xml:space="preserve">Factor de Complejidad Técnica (TCF)</t>
  </si>
  <si>
    <t xml:space="preserve">.06 + (.01*Factor Técnico)</t>
  </si>
  <si>
    <t xml:space="preserve">Factores de Peso Ambientales del Equipo</t>
  </si>
  <si>
    <t xml:space="preserve">Escala de 0 a 5</t>
  </si>
  <si>
    <t xml:space="preserve">Experiencia/Estabilidad</t>
  </si>
  <si>
    <t xml:space="preserve">F1 Familiaridad con un Proceso Definido (RUP)</t>
  </si>
  <si>
    <t xml:space="preserve">0 = sin experiencia, 3=media, 5=experto</t>
  </si>
  <si>
    <t xml:space="preserve">F2 Experiencia en el Dominio de Aplicación</t>
  </si>
  <si>
    <t xml:space="preserve">F3 Experiencia en Orientación a Objetos</t>
  </si>
  <si>
    <t xml:space="preserve">F4 Capacidad de Liderazgo de Analistas</t>
  </si>
  <si>
    <t xml:space="preserve">F5 Motivación</t>
  </si>
  <si>
    <t xml:space="preserve">0=sin, 3=media, 5=alta</t>
  </si>
  <si>
    <t xml:space="preserve">F6 Requerimientos Estables</t>
  </si>
  <si>
    <t xml:space="preserve">0=extremadamente inestable, 5=no cambian</t>
  </si>
  <si>
    <t xml:space="preserve">F7 Miembros a Tiempo Parcial</t>
  </si>
  <si>
    <t xml:space="preserve">0=tiempo parcial, 5=tiempo completo</t>
  </si>
  <si>
    <t xml:space="preserve">F8 Dificultad del Lenguaje de Programación</t>
  </si>
  <si>
    <t xml:space="preserve">0=fácil, 3=medio,5=difícil</t>
  </si>
  <si>
    <t xml:space="preserve">-1</t>
  </si>
  <si>
    <t xml:space="preserve">Factores Ambientales</t>
  </si>
  <si>
    <t xml:space="preserve">EFactor</t>
  </si>
  <si>
    <t xml:space="preserve">1.4 + (-0.03*Factor Ambiental)</t>
  </si>
  <si>
    <t xml:space="preserve">Puntos de Casos de Uso Ajustados</t>
  </si>
  <si>
    <t xml:space="preserve">Horas Persona por Punto de Caso de Uso</t>
  </si>
  <si>
    <t xml:space="preserve">Horas Persona Estimación Inicial </t>
  </si>
  <si>
    <t xml:space="preserve">Factor de Ajuste de Contingencia</t>
  </si>
  <si>
    <t xml:space="preserve">**Entre 0-100%</t>
  </si>
  <si>
    <t xml:space="preserve">Horas Persona Estimadas en el Proyecto</t>
  </si>
  <si>
    <t xml:space="preserve">Distribución de esfuerzo</t>
  </si>
  <si>
    <t xml:space="preserve">Etapa</t>
  </si>
  <si>
    <t xml:space="preserve">Ponderación</t>
  </si>
  <si>
    <t xml:space="preserve">Horas Hombre</t>
  </si>
  <si>
    <t xml:space="preserve">Horas Hombre Totales</t>
  </si>
  <si>
    <t xml:space="preserve">Horas Mes</t>
  </si>
  <si>
    <t xml:space="preserve">Meses</t>
  </si>
  <si>
    <t xml:space="preserve">Personas En Equipo</t>
  </si>
  <si>
    <t xml:space="preserve">Total Meses</t>
  </si>
  <si>
    <t xml:space="preserve">Análisis</t>
  </si>
  <si>
    <t xml:space="preserve">Diseño</t>
  </si>
  <si>
    <t xml:space="preserve">Programación</t>
  </si>
  <si>
    <t xml:space="preserve">Test</t>
  </si>
  <si>
    <t xml:space="preserve">Costo </t>
  </si>
  <si>
    <t xml:space="preserve">Sueldo</t>
  </si>
  <si>
    <t xml:space="preserve">Costo Analista</t>
  </si>
  <si>
    <t xml:space="preserve">Costo Total</t>
  </si>
  <si>
    <t xml:space="preserve">Recursos</t>
  </si>
  <si>
    <t xml:space="preserve">Costo Diseñador</t>
  </si>
  <si>
    <t xml:space="preserve">Costo Programador</t>
  </si>
  <si>
    <t xml:space="preserve">Pruebas</t>
  </si>
  <si>
    <t xml:space="preserve">Costo Pruebas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</si>
</sst>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.00_);_(\$* \(#,##0.00\);_(\$* \-??_);_(@_)"/>
    <numFmt numFmtId="166" formatCode="#,##0"/>
    <numFmt numFmtId="167" formatCode="0"/>
    <numFmt numFmtId="168" formatCode="@"/>
    <numFmt numFmtId="169" formatCode="General"/>
    <numFmt numFmtId="170" formatCode="#,##0.00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color theme="0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25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0" tint="-0.15"/>
        <bgColor rgb="FFF2F2F2"/>
      </patternFill>
    </fill>
    <fill>
      <patternFill patternType="solid">
        <fgColor theme="3" tint="-0.25"/>
        <bgColor rgb="FF333399"/>
      </patternFill>
    </fill>
    <fill>
      <patternFill patternType="solid">
        <fgColor theme="0" tint="-0.05"/>
        <bgColor rgb="FFFFFFFF"/>
      </patternFill>
    </fill>
    <fill>
      <patternFill patternType="solid">
        <fgColor rgb="FF92D050"/>
        <bgColor rgb="FFBFBFBF"/>
      </patternFill>
    </fill>
    <fill>
      <patternFill patternType="solid">
        <fgColor rgb="FFFFFF00"/>
        <bgColor rgb="FFFFFF0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9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9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9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9" fillId="6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8" fontId="8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4" borderId="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7" fillId="7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4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7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8" fontId="9" fillId="6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8" fontId="9" fillId="6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8" fontId="9" fillId="6" borderId="1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7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4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7" fillId="7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9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4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9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4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70" fontId="9" fillId="7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4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4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6" fillId="4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0.6796875" defaultRowHeight="15" zeroHeight="false" outlineLevelRow="0" outlineLevelCol="0"/>
  <cols>
    <col collapsed="false" customWidth="true" hidden="false" outlineLevel="0" max="3" min="3" style="1" width="12.57"/>
    <col collapsed="false" customWidth="true" hidden="false" outlineLevel="0" max="4" min="4" style="1" width="11.57"/>
    <col collapsed="false" customWidth="true" hidden="false" outlineLevel="0" max="5" min="5" style="1" width="17.42"/>
  </cols>
  <sheetData>
    <row r="1" customFormat="false" ht="15" hidden="false" customHeight="true" outlineLevel="0" collapsed="false">
      <c r="B1" s="2" t="s">
        <v>0</v>
      </c>
      <c r="C1" s="2"/>
      <c r="D1" s="2"/>
      <c r="E1" s="2"/>
    </row>
    <row r="2" customFormat="false" ht="15" hidden="false" customHeight="true" outlineLevel="0" collapsed="false">
      <c r="B2" s="3" t="s">
        <v>1</v>
      </c>
      <c r="C2" s="4" t="s">
        <v>2</v>
      </c>
      <c r="D2" s="4" t="s">
        <v>3</v>
      </c>
      <c r="E2" s="4" t="s">
        <v>4</v>
      </c>
      <c r="H2" s="5" t="s">
        <v>5</v>
      </c>
      <c r="I2" s="6" t="n">
        <v>4</v>
      </c>
    </row>
    <row r="3" customFormat="false" ht="15" hidden="false" customHeight="true" outlineLevel="0" collapsed="false">
      <c r="B3" s="7"/>
      <c r="C3" s="8"/>
      <c r="D3" s="8"/>
      <c r="E3" s="8"/>
    </row>
    <row r="4" customFormat="false" ht="15" hidden="false" customHeight="true" outlineLevel="0" collapsed="false">
      <c r="B4" s="9" t="s">
        <v>6</v>
      </c>
      <c r="C4" s="10" t="n">
        <v>250000</v>
      </c>
      <c r="D4" s="10" t="n">
        <f aca="false">+C4/12</f>
        <v>20833.3333333333</v>
      </c>
      <c r="E4" s="10" t="n">
        <f aca="false">+D4/$I$2</f>
        <v>5208.33333333333</v>
      </c>
    </row>
    <row r="5" customFormat="false" ht="15" hidden="false" customHeight="true" outlineLevel="0" collapsed="false">
      <c r="B5" s="9" t="s">
        <v>7</v>
      </c>
      <c r="C5" s="10" t="n">
        <v>36000</v>
      </c>
      <c r="D5" s="10" t="n">
        <f aca="false">+C5/12</f>
        <v>3000</v>
      </c>
      <c r="E5" s="10" t="n">
        <f aca="false">+D5/$I$2</f>
        <v>750</v>
      </c>
    </row>
    <row r="6" customFormat="false" ht="15" hidden="false" customHeight="true" outlineLevel="0" collapsed="false">
      <c r="B6" s="9" t="s">
        <v>8</v>
      </c>
      <c r="C6" s="10" t="n">
        <v>12000</v>
      </c>
      <c r="D6" s="10" t="n">
        <f aca="false">+C6/12</f>
        <v>1000</v>
      </c>
      <c r="E6" s="10" t="n">
        <f aca="false">+D6/$I$2</f>
        <v>250</v>
      </c>
    </row>
    <row r="7" customFormat="false" ht="15" hidden="false" customHeight="true" outlineLevel="0" collapsed="false">
      <c r="B7" s="9" t="s">
        <v>9</v>
      </c>
      <c r="C7" s="10" t="n">
        <v>55000</v>
      </c>
      <c r="D7" s="10" t="n">
        <f aca="false">+C7/12</f>
        <v>4583.33333333333</v>
      </c>
      <c r="E7" s="10" t="n">
        <f aca="false">+D7/$I$2</f>
        <v>1145.83333333333</v>
      </c>
    </row>
    <row r="8" customFormat="false" ht="15" hidden="false" customHeight="true" outlineLevel="0" collapsed="false">
      <c r="B8" s="9" t="s">
        <v>10</v>
      </c>
      <c r="C8" s="10" t="n">
        <v>18000</v>
      </c>
      <c r="D8" s="10" t="n">
        <f aca="false">+C8/12</f>
        <v>1500</v>
      </c>
      <c r="E8" s="10" t="n">
        <f aca="false">+D8/$I$2</f>
        <v>375</v>
      </c>
    </row>
    <row r="9" customFormat="false" ht="15" hidden="false" customHeight="true" outlineLevel="0" collapsed="false">
      <c r="B9" s="9" t="s">
        <v>11</v>
      </c>
      <c r="C9" s="10" t="n">
        <v>24000</v>
      </c>
      <c r="D9" s="10" t="n">
        <f aca="false">+C9/12</f>
        <v>2000</v>
      </c>
      <c r="E9" s="10" t="n">
        <f aca="false">+D9/$I$2</f>
        <v>500</v>
      </c>
    </row>
    <row r="10" customFormat="false" ht="15" hidden="false" customHeight="true" outlineLevel="0" collapsed="false">
      <c r="B10" s="9" t="s">
        <v>12</v>
      </c>
      <c r="C10" s="10" t="n">
        <v>12000</v>
      </c>
      <c r="D10" s="10" t="n">
        <f aca="false">+C10/12</f>
        <v>1000</v>
      </c>
      <c r="E10" s="10" t="n">
        <f aca="false">+D10/$I$2</f>
        <v>250</v>
      </c>
    </row>
    <row r="11" customFormat="false" ht="15" hidden="false" customHeight="true" outlineLevel="0" collapsed="false">
      <c r="B11" s="7"/>
      <c r="C11" s="8"/>
      <c r="D11" s="8"/>
      <c r="E11" s="8"/>
    </row>
    <row r="12" customFormat="false" ht="15" hidden="false" customHeight="true" outlineLevel="0" collapsed="false">
      <c r="B12" s="7"/>
      <c r="C12" s="8"/>
      <c r="D12" s="8"/>
      <c r="E12" s="8"/>
    </row>
    <row r="13" customFormat="false" ht="15" hidden="false" customHeight="true" outlineLevel="0" collapsed="false">
      <c r="B13" s="7"/>
      <c r="C13" s="8"/>
      <c r="D13" s="8"/>
      <c r="E13" s="8"/>
    </row>
    <row r="14" customFormat="false" ht="15" hidden="false" customHeight="true" outlineLevel="0" collapsed="false">
      <c r="B14" s="7"/>
      <c r="C14" s="8"/>
      <c r="D14" s="8"/>
      <c r="E14" s="8"/>
    </row>
    <row r="15" customFormat="false" ht="15" hidden="false" customHeight="true" outlineLevel="0" collapsed="false">
      <c r="B15" s="7"/>
      <c r="C15" s="8"/>
      <c r="D15" s="8"/>
      <c r="E15" s="8"/>
    </row>
    <row r="16" customFormat="false" ht="15" hidden="false" customHeight="true" outlineLevel="0" collapsed="false">
      <c r="B16" s="7"/>
      <c r="C16" s="8"/>
      <c r="D16" s="8"/>
      <c r="E16" s="8"/>
    </row>
    <row r="17" customFormat="false" ht="15" hidden="false" customHeight="true" outlineLevel="0" collapsed="false">
      <c r="B17" s="7"/>
      <c r="C17" s="8"/>
      <c r="D17" s="8"/>
      <c r="E17" s="8"/>
    </row>
    <row r="18" customFormat="false" ht="15" hidden="false" customHeight="true" outlineLevel="0" collapsed="false">
      <c r="B18" s="7"/>
      <c r="C18" s="8"/>
      <c r="D18" s="8"/>
      <c r="E18" s="8"/>
    </row>
    <row r="19" customFormat="false" ht="15" hidden="false" customHeight="true" outlineLevel="0" collapsed="false">
      <c r="B19" s="9" t="s">
        <v>13</v>
      </c>
      <c r="C19" s="10" t="n">
        <f aca="false">SUM(C4:C18)</f>
        <v>407000</v>
      </c>
      <c r="D19" s="10" t="n">
        <f aca="false">SUM(D4:D18)</f>
        <v>33916.6666666667</v>
      </c>
      <c r="E19" s="10" t="n">
        <f aca="false">+D19/$I$2</f>
        <v>8479.16666666667</v>
      </c>
    </row>
  </sheetData>
  <mergeCells count="1">
    <mergeCell ref="B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6796875" defaultRowHeight="15" zeroHeight="false" outlineLevelRow="0" outlineLevelCol="0"/>
  <cols>
    <col collapsed="false" customWidth="true" hidden="false" outlineLevel="0" max="2" min="2" style="11" width="44.57"/>
    <col collapsed="false" customWidth="true" hidden="false" outlineLevel="0" max="4" min="4" style="1" width="11.43"/>
    <col collapsed="false" customWidth="true" hidden="false" outlineLevel="0" max="5" min="5" style="1" width="17.86"/>
    <col collapsed="false" customWidth="true" hidden="false" outlineLevel="0" max="9" min="9" style="12" width="28.42"/>
  </cols>
  <sheetData>
    <row r="1" customFormat="false" ht="15" hidden="false" customHeight="true" outlineLevel="0" collapsed="false">
      <c r="B1" s="13" t="s">
        <v>14</v>
      </c>
      <c r="C1" s="13"/>
      <c r="D1" s="13"/>
      <c r="E1" s="13"/>
    </row>
    <row r="2" customFormat="false" ht="15" hidden="false" customHeight="true" outlineLevel="0" collapsed="false">
      <c r="B2" s="14" t="s">
        <v>1</v>
      </c>
      <c r="C2" s="15" t="s">
        <v>15</v>
      </c>
      <c r="D2" s="16" t="s">
        <v>16</v>
      </c>
      <c r="E2" s="16" t="s">
        <v>17</v>
      </c>
      <c r="I2" s="15" t="s">
        <v>18</v>
      </c>
      <c r="J2" s="6" t="n">
        <v>12</v>
      </c>
    </row>
    <row r="3" customFormat="false" ht="15" hidden="false" customHeight="true" outlineLevel="0" collapsed="false">
      <c r="B3" s="17" t="s">
        <v>19</v>
      </c>
      <c r="C3" s="6" t="n">
        <v>4</v>
      </c>
      <c r="D3" s="18" t="n">
        <v>18000</v>
      </c>
      <c r="E3" s="18" t="n">
        <f aca="false">+D3/$J$2</f>
        <v>1500</v>
      </c>
      <c r="I3" s="15" t="s">
        <v>20</v>
      </c>
      <c r="J3" s="6" t="n">
        <v>4</v>
      </c>
    </row>
    <row r="4" customFormat="false" ht="30" hidden="false" customHeight="true" outlineLevel="0" collapsed="false">
      <c r="B4" s="17" t="s">
        <v>21</v>
      </c>
      <c r="C4" s="6" t="n">
        <v>1</v>
      </c>
      <c r="D4" s="18" t="n">
        <v>39000</v>
      </c>
      <c r="E4" s="18" t="n">
        <f aca="false">+D4/$J$2</f>
        <v>3250</v>
      </c>
    </row>
    <row r="5" customFormat="false" ht="15" hidden="false" customHeight="true" outlineLevel="0" collapsed="false">
      <c r="B5" s="17" t="s">
        <v>22</v>
      </c>
      <c r="C5" s="19"/>
      <c r="D5" s="20"/>
      <c r="E5" s="18" t="n">
        <f aca="false">+D5/$J$2</f>
        <v>0</v>
      </c>
    </row>
    <row r="6" customFormat="false" ht="30" hidden="false" customHeight="true" outlineLevel="0" collapsed="false">
      <c r="B6" s="17" t="s">
        <v>23</v>
      </c>
      <c r="C6" s="6" t="n">
        <v>3</v>
      </c>
      <c r="D6" s="18" t="n">
        <v>22000</v>
      </c>
      <c r="E6" s="18" t="n">
        <f aca="false">+D6/$J$2</f>
        <v>1833.33333333333</v>
      </c>
    </row>
    <row r="7" customFormat="false" ht="15" hidden="false" customHeight="true" outlineLevel="0" collapsed="false">
      <c r="B7" s="17" t="s">
        <v>24</v>
      </c>
      <c r="C7" s="6" t="n">
        <v>1</v>
      </c>
      <c r="D7" s="18" t="n">
        <f aca="false">500*20</f>
        <v>10000</v>
      </c>
      <c r="E7" s="18" t="n">
        <f aca="false">+D7*$J$2</f>
        <v>120000</v>
      </c>
    </row>
    <row r="8" customFormat="false" ht="15" hidden="false" customHeight="true" outlineLevel="0" collapsed="false">
      <c r="B8" s="17" t="s">
        <v>25</v>
      </c>
      <c r="C8" s="6" t="n">
        <f aca="false">+$J$3</f>
        <v>4</v>
      </c>
      <c r="D8" s="18" t="n">
        <v>980</v>
      </c>
      <c r="E8" s="18" t="n">
        <f aca="false">+D8*$C$8/$J$2</f>
        <v>326.666666666667</v>
      </c>
    </row>
    <row r="9" customFormat="false" ht="15" hidden="false" customHeight="true" outlineLevel="0" collapsed="false">
      <c r="B9" s="17" t="s">
        <v>26</v>
      </c>
      <c r="C9" s="6" t="n">
        <f aca="false">+$J$3</f>
        <v>4</v>
      </c>
      <c r="D9" s="18" t="n">
        <v>1199</v>
      </c>
      <c r="E9" s="18" t="n">
        <f aca="false">+D9*$C$8/$J$2</f>
        <v>399.666666666667</v>
      </c>
    </row>
    <row r="10" customFormat="false" ht="15" hidden="false" customHeight="true" outlineLevel="0" collapsed="false">
      <c r="B10" s="21"/>
      <c r="C10" s="19"/>
      <c r="D10" s="20"/>
      <c r="E10" s="20"/>
    </row>
    <row r="11" customFormat="false" ht="15" hidden="false" customHeight="true" outlineLevel="0" collapsed="false">
      <c r="B11" s="21"/>
      <c r="C11" s="19"/>
      <c r="D11" s="20"/>
      <c r="E11" s="20"/>
    </row>
    <row r="12" customFormat="false" ht="15" hidden="false" customHeight="true" outlineLevel="0" collapsed="false">
      <c r="B12" s="21"/>
      <c r="C12" s="19"/>
      <c r="D12" s="20"/>
      <c r="E12" s="20"/>
    </row>
    <row r="13" customFormat="false" ht="15" hidden="false" customHeight="true" outlineLevel="0" collapsed="false">
      <c r="B13" s="21"/>
      <c r="C13" s="19"/>
      <c r="D13" s="20"/>
      <c r="E13" s="20"/>
    </row>
    <row r="14" customFormat="false" ht="15" hidden="false" customHeight="true" outlineLevel="0" collapsed="false">
      <c r="B14" s="21"/>
      <c r="C14" s="19"/>
      <c r="D14" s="20"/>
      <c r="E14" s="20"/>
    </row>
    <row r="15" customFormat="false" ht="15" hidden="false" customHeight="true" outlineLevel="0" collapsed="false">
      <c r="B15" s="21"/>
      <c r="C15" s="19"/>
      <c r="D15" s="20"/>
      <c r="E15" s="20"/>
    </row>
    <row r="16" customFormat="false" ht="15" hidden="false" customHeight="true" outlineLevel="0" collapsed="false">
      <c r="B16" s="17" t="s">
        <v>27</v>
      </c>
      <c r="C16" s="19"/>
      <c r="D16" s="20"/>
      <c r="E16" s="18" t="n">
        <f aca="false">SUM(E3:E15)</f>
        <v>127309.666666667</v>
      </c>
    </row>
  </sheetData>
  <mergeCells count="1">
    <mergeCell ref="B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796875" defaultRowHeight="15" zeroHeight="false" outlineLevelRow="0" outlineLevelCol="0"/>
  <cols>
    <col collapsed="false" customWidth="true" hidden="false" outlineLevel="0" max="2" min="2" style="12" width="19.86"/>
    <col collapsed="false" customWidth="true" hidden="false" outlineLevel="0" max="3" min="3" style="1" width="11.43"/>
    <col collapsed="false" customWidth="true" hidden="false" outlineLevel="0" max="4" min="4" style="12" width="17.29"/>
    <col collapsed="false" customWidth="true" hidden="false" outlineLevel="0" max="5" min="5" style="12" width="13.42"/>
    <col collapsed="false" customWidth="true" hidden="false" outlineLevel="0" max="6" min="6" style="12" width="14.14"/>
    <col collapsed="false" customWidth="true" hidden="false" outlineLevel="0" max="7" min="7" style="12" width="15.85"/>
  </cols>
  <sheetData>
    <row r="2" customFormat="false" ht="15" hidden="false" customHeight="true" outlineLevel="0" collapsed="false">
      <c r="B2" s="22" t="s">
        <v>28</v>
      </c>
      <c r="C2" s="22"/>
      <c r="D2" s="22"/>
      <c r="E2" s="22"/>
      <c r="F2" s="22"/>
      <c r="G2" s="22"/>
    </row>
    <row r="3" customFormat="false" ht="15" hidden="false" customHeight="true" outlineLevel="0" collapsed="false">
      <c r="B3" s="15" t="s">
        <v>29</v>
      </c>
      <c r="C3" s="16" t="s">
        <v>3</v>
      </c>
      <c r="D3" s="15" t="s">
        <v>30</v>
      </c>
      <c r="E3" s="15" t="s">
        <v>31</v>
      </c>
      <c r="F3" s="15" t="s">
        <v>32</v>
      </c>
      <c r="G3" s="15" t="s">
        <v>33</v>
      </c>
    </row>
    <row r="4" customFormat="false" ht="15" hidden="false" customHeight="true" outlineLevel="0" collapsed="false">
      <c r="B4" s="6" t="s">
        <v>34</v>
      </c>
      <c r="C4" s="18" t="n">
        <f aca="false">+DistribuciónEsfuerzo!J18</f>
        <v>25000</v>
      </c>
      <c r="D4" s="23" t="n">
        <v>1</v>
      </c>
      <c r="E4" s="18" t="n">
        <f aca="false">+D4*C4</f>
        <v>25000</v>
      </c>
      <c r="F4" s="18" t="n">
        <f aca="false">+E4*G4</f>
        <v>69427.494140625</v>
      </c>
      <c r="G4" s="24" t="n">
        <f aca="false">+DistribuciónEsfuerzo!I18</f>
        <v>2.777099765625</v>
      </c>
    </row>
    <row r="5" customFormat="false" ht="15" hidden="false" customHeight="true" outlineLevel="0" collapsed="false">
      <c r="B5" s="6" t="s">
        <v>35</v>
      </c>
      <c r="C5" s="18" t="n">
        <f aca="false">+DistribuciónEsfuerzo!J30</f>
        <v>30000</v>
      </c>
      <c r="D5" s="23" t="n">
        <v>1</v>
      </c>
      <c r="E5" s="18" t="n">
        <f aca="false">+D5*C5</f>
        <v>30000</v>
      </c>
      <c r="F5" s="18" t="n">
        <f aca="false">+E5*G5</f>
        <v>66650.394375</v>
      </c>
      <c r="G5" s="24" t="n">
        <f aca="false">+DistribuciónEsfuerzo!I30</f>
        <v>2.2216798125</v>
      </c>
    </row>
    <row r="6" customFormat="false" ht="15" hidden="false" customHeight="true" outlineLevel="0" collapsed="false">
      <c r="B6" s="6" t="s">
        <v>36</v>
      </c>
      <c r="C6" s="18" t="n">
        <v>35000</v>
      </c>
      <c r="D6" s="6" t="n">
        <v>0</v>
      </c>
      <c r="E6" s="18" t="n">
        <f aca="false">+D6*C6</f>
        <v>0</v>
      </c>
      <c r="F6" s="18" t="n">
        <f aca="false">+E6*G6</f>
        <v>0</v>
      </c>
      <c r="G6" s="24" t="n">
        <v>0</v>
      </c>
    </row>
    <row r="7" customFormat="false" ht="15" hidden="false" customHeight="true" outlineLevel="0" collapsed="false">
      <c r="B7" s="6" t="s">
        <v>37</v>
      </c>
      <c r="C7" s="18" t="n">
        <f aca="false">+DistribuciónEsfuerzo!J41</f>
        <v>40000</v>
      </c>
      <c r="D7" s="23" t="n">
        <v>1</v>
      </c>
      <c r="E7" s="18" t="n">
        <f aca="false">+D7*C7</f>
        <v>40000</v>
      </c>
      <c r="F7" s="18" t="n">
        <f aca="false">+E7*G7</f>
        <v>155517.586875</v>
      </c>
      <c r="G7" s="24" t="n">
        <f aca="false">+DistribuciónEsfuerzo!I41</f>
        <v>3.887939671875</v>
      </c>
    </row>
    <row r="8" customFormat="false" ht="15" hidden="false" customHeight="true" outlineLevel="0" collapsed="false">
      <c r="B8" s="6" t="s">
        <v>38</v>
      </c>
      <c r="C8" s="18" t="n">
        <f aca="false">+DistribuciónEsfuerzo!J52</f>
        <v>20000</v>
      </c>
      <c r="D8" s="23" t="n">
        <v>1</v>
      </c>
      <c r="E8" s="18" t="n">
        <f aca="false">+D8*C8</f>
        <v>20000</v>
      </c>
      <c r="F8" s="18" t="n">
        <f aca="false">+E8*G8</f>
        <v>44433.59625</v>
      </c>
      <c r="G8" s="24" t="n">
        <f aca="false">+DistribuciónEsfuerzo!I52</f>
        <v>2.2216798125</v>
      </c>
    </row>
    <row r="9" customFormat="false" ht="15" hidden="false" customHeight="true" outlineLevel="0" collapsed="false">
      <c r="B9" s="6" t="s">
        <v>39</v>
      </c>
      <c r="C9" s="18" t="n">
        <v>33000</v>
      </c>
      <c r="D9" s="6" t="n">
        <v>0</v>
      </c>
      <c r="E9" s="18" t="n">
        <f aca="false">+D9*C9</f>
        <v>0</v>
      </c>
      <c r="F9" s="18" t="n">
        <f aca="false">+E9*G9</f>
        <v>0</v>
      </c>
      <c r="G9" s="24" t="n">
        <v>0</v>
      </c>
    </row>
    <row r="10" customFormat="false" ht="15" hidden="false" customHeight="true" outlineLevel="0" collapsed="false">
      <c r="B10" s="6" t="s">
        <v>40</v>
      </c>
      <c r="C10" s="18" t="n">
        <v>32000</v>
      </c>
      <c r="D10" s="6" t="n">
        <v>0</v>
      </c>
      <c r="E10" s="18" t="n">
        <f aca="false">+D10*C10</f>
        <v>0</v>
      </c>
      <c r="F10" s="18" t="n">
        <f aca="false">+E10*G10</f>
        <v>0</v>
      </c>
      <c r="G10" s="24" t="n">
        <v>0</v>
      </c>
    </row>
    <row r="11" customFormat="false" ht="15" hidden="false" customHeight="true" outlineLevel="0" collapsed="false">
      <c r="B11" s="6" t="s">
        <v>41</v>
      </c>
      <c r="C11" s="18" t="n">
        <v>15000</v>
      </c>
      <c r="D11" s="6" t="n">
        <v>0</v>
      </c>
      <c r="E11" s="18" t="n">
        <f aca="false">+D11*C11</f>
        <v>0</v>
      </c>
      <c r="F11" s="18" t="n">
        <f aca="false">+E11*G11</f>
        <v>0</v>
      </c>
      <c r="G11" s="24" t="n">
        <v>0</v>
      </c>
    </row>
    <row r="12" customFormat="false" ht="15" hidden="false" customHeight="true" outlineLevel="0" collapsed="false">
      <c r="B12" s="6" t="s">
        <v>42</v>
      </c>
      <c r="C12" s="18" t="n">
        <v>20000</v>
      </c>
      <c r="D12" s="6" t="n">
        <v>0</v>
      </c>
      <c r="E12" s="18" t="n">
        <f aca="false">+D12*C12</f>
        <v>0</v>
      </c>
      <c r="F12" s="18" t="n">
        <f aca="false">+E12*G12</f>
        <v>0</v>
      </c>
      <c r="G12" s="24" t="n">
        <v>0</v>
      </c>
    </row>
    <row r="13" customFormat="false" ht="15" hidden="false" customHeight="true" outlineLevel="0" collapsed="false">
      <c r="B13" s="6" t="s">
        <v>43</v>
      </c>
      <c r="C13" s="18" t="n">
        <v>30000</v>
      </c>
      <c r="D13" s="6" t="n">
        <v>0</v>
      </c>
      <c r="E13" s="18" t="n">
        <f aca="false">+D13*C13</f>
        <v>0</v>
      </c>
      <c r="F13" s="18" t="n">
        <f aca="false">+E13*G13</f>
        <v>0</v>
      </c>
      <c r="G13" s="24" t="n">
        <v>0</v>
      </c>
    </row>
    <row r="14" customFormat="false" ht="15" hidden="false" customHeight="true" outlineLevel="0" collapsed="false">
      <c r="B14" s="19"/>
      <c r="C14" s="20"/>
      <c r="D14" s="19"/>
      <c r="E14" s="19"/>
      <c r="F14" s="19"/>
      <c r="G14" s="25"/>
    </row>
    <row r="15" customFormat="false" ht="15" hidden="false" customHeight="true" outlineLevel="0" collapsed="false">
      <c r="B15" s="19"/>
      <c r="C15" s="20"/>
      <c r="D15" s="19"/>
      <c r="E15" s="19"/>
      <c r="F15" s="19"/>
      <c r="G15" s="25"/>
    </row>
    <row r="16" customFormat="false" ht="15" hidden="false" customHeight="true" outlineLevel="0" collapsed="false">
      <c r="B16" s="19"/>
      <c r="C16" s="20"/>
      <c r="D16" s="19"/>
      <c r="E16" s="19"/>
      <c r="F16" s="19"/>
      <c r="G16" s="25"/>
    </row>
    <row r="17" customFormat="false" ht="15" hidden="false" customHeight="true" outlineLevel="0" collapsed="false">
      <c r="B17" s="19"/>
      <c r="C17" s="20"/>
      <c r="D17" s="19"/>
      <c r="E17" s="19"/>
      <c r="F17" s="19"/>
      <c r="G17" s="25"/>
    </row>
    <row r="18" customFormat="false" ht="15" hidden="false" customHeight="true" outlineLevel="0" collapsed="false">
      <c r="B18" s="6" t="s">
        <v>27</v>
      </c>
      <c r="C18" s="20"/>
      <c r="D18" s="19"/>
      <c r="E18" s="20"/>
      <c r="F18" s="18" t="n">
        <f aca="false">+DistribuciónEsfuerzo!B15</f>
        <v>1344116.2865625</v>
      </c>
      <c r="G18" s="20"/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5" zeroHeight="false" outlineLevelRow="0" outlineLevelCol="0"/>
  <cols>
    <col collapsed="false" customWidth="true" hidden="false" outlineLevel="0" max="5" min="4" style="1" width="11.43"/>
  </cols>
  <sheetData>
    <row r="2" customFormat="false" ht="15" hidden="false" customHeight="true" outlineLevel="0" collapsed="false">
      <c r="B2" s="2" t="s">
        <v>44</v>
      </c>
      <c r="C2" s="2"/>
      <c r="D2" s="2"/>
      <c r="E2" s="2"/>
    </row>
    <row r="3" customFormat="false" ht="15" hidden="false" customHeight="true" outlineLevel="0" collapsed="false">
      <c r="B3" s="15" t="s">
        <v>1</v>
      </c>
      <c r="C3" s="15" t="s">
        <v>45</v>
      </c>
      <c r="D3" s="16" t="s">
        <v>46</v>
      </c>
      <c r="E3" s="16" t="s">
        <v>13</v>
      </c>
    </row>
    <row r="4" customFormat="false" ht="15" hidden="false" customHeight="true" outlineLevel="0" collapsed="false">
      <c r="B4" s="6" t="s">
        <v>47</v>
      </c>
      <c r="C4" s="6" t="n">
        <v>0</v>
      </c>
      <c r="D4" s="18" t="n">
        <v>1200</v>
      </c>
      <c r="E4" s="18" t="n">
        <f aca="false">+D4*C4</f>
        <v>0</v>
      </c>
    </row>
    <row r="5" customFormat="false" ht="15" hidden="false" customHeight="true" outlineLevel="0" collapsed="false">
      <c r="B5" s="6" t="s">
        <v>48</v>
      </c>
      <c r="C5" s="6" t="n">
        <v>0</v>
      </c>
      <c r="D5" s="18" t="n">
        <v>1200</v>
      </c>
      <c r="E5" s="18" t="n">
        <f aca="false">+D5*C5</f>
        <v>0</v>
      </c>
    </row>
    <row r="6" customFormat="false" ht="15" hidden="false" customHeight="true" outlineLevel="0" collapsed="false">
      <c r="B6" s="19"/>
      <c r="C6" s="19"/>
      <c r="D6" s="20"/>
      <c r="E6" s="20"/>
    </row>
    <row r="7" customFormat="false" ht="15" hidden="false" customHeight="true" outlineLevel="0" collapsed="false">
      <c r="B7" s="19"/>
      <c r="C7" s="19"/>
      <c r="D7" s="20"/>
      <c r="E7" s="20"/>
    </row>
    <row r="8" customFormat="false" ht="15" hidden="false" customHeight="true" outlineLevel="0" collapsed="false">
      <c r="B8" s="19"/>
      <c r="C8" s="19"/>
      <c r="D8" s="20"/>
      <c r="E8" s="20"/>
    </row>
    <row r="9" customFormat="false" ht="15" hidden="false" customHeight="true" outlineLevel="0" collapsed="false">
      <c r="B9" s="19"/>
      <c r="C9" s="19"/>
      <c r="D9" s="20"/>
      <c r="E9" s="20"/>
    </row>
    <row r="10" customFormat="false" ht="15" hidden="false" customHeight="true" outlineLevel="0" collapsed="false">
      <c r="B10" s="6" t="s">
        <v>27</v>
      </c>
      <c r="C10" s="19"/>
      <c r="D10" s="20"/>
      <c r="E10" s="18" t="n">
        <f aca="false">SUM(E4:E9)</f>
        <v>0</v>
      </c>
    </row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6796875" defaultRowHeight="15" zeroHeight="false" outlineLevelRow="0" outlineLevelCol="0"/>
  <cols>
    <col collapsed="false" customWidth="true" hidden="false" outlineLevel="0" max="2" min="2" style="12" width="15.57"/>
    <col collapsed="false" customWidth="true" hidden="false" outlineLevel="0" max="3" min="3" style="1" width="19.86"/>
  </cols>
  <sheetData>
    <row r="2" customFormat="false" ht="15" hidden="false" customHeight="true" outlineLevel="0" collapsed="false">
      <c r="B2" s="26" t="s">
        <v>49</v>
      </c>
      <c r="C2" s="26"/>
    </row>
    <row r="3" customFormat="false" ht="15" hidden="false" customHeight="true" outlineLevel="0" collapsed="false">
      <c r="B3" s="15" t="s">
        <v>50</v>
      </c>
      <c r="C3" s="16" t="s">
        <v>46</v>
      </c>
      <c r="D3" s="16" t="s">
        <v>51</v>
      </c>
      <c r="E3" s="16" t="s">
        <v>52</v>
      </c>
    </row>
    <row r="4" customFormat="false" ht="15" hidden="false" customHeight="true" outlineLevel="0" collapsed="false">
      <c r="B4" s="6" t="s">
        <v>53</v>
      </c>
      <c r="C4" s="18" t="n">
        <f aca="false">+'Costos Indirectos'!E19*'Hw&amp;SW'!J3*'Hw&amp;SW'!J2</f>
        <v>407000</v>
      </c>
    </row>
    <row r="5" customFormat="false" ht="15" hidden="false" customHeight="true" outlineLevel="0" collapsed="false">
      <c r="B5" s="6" t="s">
        <v>14</v>
      </c>
      <c r="C5" s="18" t="n">
        <f aca="false">+'Hw&amp;SW'!E16</f>
        <v>127309.666666667</v>
      </c>
    </row>
    <row r="6" customFormat="false" ht="15" hidden="false" customHeight="true" outlineLevel="0" collapsed="false">
      <c r="B6" s="6" t="s">
        <v>28</v>
      </c>
      <c r="C6" s="18" t="n">
        <f aca="false">+Sueldos!F18</f>
        <v>1344116.2865625</v>
      </c>
    </row>
    <row r="7" customFormat="false" ht="15" hidden="false" customHeight="true" outlineLevel="0" collapsed="false">
      <c r="B7" s="6" t="s">
        <v>54</v>
      </c>
      <c r="C7" s="18" t="n">
        <f aca="false">+Otros!E10</f>
        <v>0</v>
      </c>
    </row>
    <row r="8" customFormat="false" ht="15" hidden="false" customHeight="true" outlineLevel="0" collapsed="false">
      <c r="B8" s="6" t="s">
        <v>32</v>
      </c>
      <c r="C8" s="18" t="n">
        <f aca="false">SUM(C4:C6)</f>
        <v>1878425.95322917</v>
      </c>
    </row>
    <row r="9" customFormat="false" ht="15" hidden="false" customHeight="true" outlineLevel="0" collapsed="false">
      <c r="B9" s="6" t="s">
        <v>55</v>
      </c>
      <c r="C9" s="18" t="n">
        <f aca="false">+D9*C8</f>
        <v>563527.78596875</v>
      </c>
      <c r="D9" s="6" t="n">
        <v>0.3</v>
      </c>
      <c r="E9" s="19"/>
    </row>
    <row r="10" customFormat="false" ht="15" hidden="false" customHeight="true" outlineLevel="0" collapsed="false">
      <c r="B10" s="6" t="s">
        <v>56</v>
      </c>
      <c r="C10" s="18" t="n">
        <f aca="false">+C9+C8</f>
        <v>2441953.73919792</v>
      </c>
      <c r="D10" s="19"/>
      <c r="E10" s="23" t="n">
        <f aca="false">+DistribuciónEsfuerzo!C23</f>
        <v>32.21435728125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E48" activeCellId="0" sqref="E48"/>
    </sheetView>
  </sheetViews>
  <sheetFormatPr defaultColWidth="10.6796875" defaultRowHeight="15" zeroHeight="false" outlineLevelRow="0" outlineLevelCol="0"/>
  <cols>
    <col collapsed="false" customWidth="true" hidden="false" outlineLevel="0" max="1" min="1" style="11" width="46.57"/>
    <col collapsed="false" customWidth="true" hidden="false" outlineLevel="0" max="2" min="2" style="27" width="39.42"/>
    <col collapsed="false" customWidth="true" hidden="false" outlineLevel="0" max="3" min="3" style="28" width="10.42"/>
    <col collapsed="false" customWidth="true" hidden="false" outlineLevel="0" max="4" min="4" style="29" width="15.57"/>
    <col collapsed="false" customWidth="true" hidden="false" outlineLevel="0" max="5" min="5" style="12" width="15.57"/>
    <col collapsed="false" customWidth="true" hidden="false" outlineLevel="0" max="6" min="6" style="29" width="26.86"/>
    <col collapsed="false" customWidth="true" hidden="false" outlineLevel="0" max="7" min="7" style="12" width="12"/>
  </cols>
  <sheetData>
    <row r="1" customFormat="false" ht="25.5" hidden="false" customHeight="true" outlineLevel="0" collapsed="false">
      <c r="A1" s="30" t="s">
        <v>57</v>
      </c>
      <c r="B1" s="30"/>
      <c r="C1" s="30"/>
      <c r="D1" s="30"/>
      <c r="E1" s="30"/>
      <c r="F1" s="30"/>
    </row>
    <row r="2" customFormat="false" ht="15.75" hidden="false" customHeight="true" outlineLevel="0" collapsed="false">
      <c r="A2" s="31"/>
      <c r="B2" s="32"/>
      <c r="C2" s="33"/>
      <c r="D2" s="34"/>
      <c r="E2" s="35"/>
      <c r="F2" s="34"/>
    </row>
    <row r="3" s="42" customFormat="true" ht="13.5" hidden="false" customHeight="true" outlineLevel="0" collapsed="false">
      <c r="A3" s="36" t="s">
        <v>58</v>
      </c>
      <c r="B3" s="37" t="s">
        <v>1</v>
      </c>
      <c r="C3" s="38" t="s">
        <v>59</v>
      </c>
      <c r="D3" s="39" t="s">
        <v>15</v>
      </c>
      <c r="E3" s="40" t="s">
        <v>60</v>
      </c>
      <c r="F3" s="41" t="s">
        <v>61</v>
      </c>
    </row>
    <row r="4" customFormat="false" ht="15" hidden="false" customHeight="true" outlineLevel="0" collapsed="false">
      <c r="A4" s="43" t="s">
        <v>62</v>
      </c>
      <c r="B4" s="44" t="s">
        <v>63</v>
      </c>
      <c r="C4" s="45" t="n">
        <v>1</v>
      </c>
      <c r="D4" s="46" t="n">
        <v>2</v>
      </c>
      <c r="E4" s="47" t="n">
        <f aca="false">C4*D4</f>
        <v>2</v>
      </c>
      <c r="F4" s="48"/>
    </row>
    <row r="5" customFormat="false" ht="15" hidden="false" customHeight="true" outlineLevel="0" collapsed="false">
      <c r="A5" s="49" t="s">
        <v>64</v>
      </c>
      <c r="B5" s="50" t="s">
        <v>65</v>
      </c>
      <c r="C5" s="51" t="n">
        <v>2</v>
      </c>
      <c r="D5" s="52" t="n">
        <v>0</v>
      </c>
      <c r="E5" s="53" t="n">
        <f aca="false">C5*D5</f>
        <v>0</v>
      </c>
      <c r="F5" s="54"/>
    </row>
    <row r="6" customFormat="false" ht="15.75" hidden="false" customHeight="true" outlineLevel="0" collapsed="false">
      <c r="A6" s="55" t="s">
        <v>66</v>
      </c>
      <c r="B6" s="56" t="s">
        <v>67</v>
      </c>
      <c r="C6" s="57" t="n">
        <v>3</v>
      </c>
      <c r="D6" s="58" t="n">
        <v>5</v>
      </c>
      <c r="E6" s="59" t="n">
        <f aca="false">C6*D6</f>
        <v>15</v>
      </c>
      <c r="F6" s="60"/>
    </row>
    <row r="7" customFormat="false" ht="15.75" hidden="false" customHeight="true" outlineLevel="0" collapsed="false">
      <c r="A7" s="36" t="s">
        <v>68</v>
      </c>
      <c r="B7" s="61"/>
      <c r="C7" s="62"/>
      <c r="D7" s="63"/>
      <c r="E7" s="40" t="n">
        <f aca="false">SUM(E4:E6)</f>
        <v>17</v>
      </c>
      <c r="F7" s="64"/>
    </row>
    <row r="8" customFormat="false" ht="15.75" hidden="false" customHeight="true" outlineLevel="0" collapsed="false">
      <c r="A8" s="31"/>
      <c r="B8" s="32"/>
      <c r="C8" s="33"/>
      <c r="D8" s="34"/>
      <c r="E8" s="35"/>
      <c r="F8" s="34"/>
    </row>
    <row r="9" s="42" customFormat="true" ht="26.25" hidden="false" customHeight="true" outlineLevel="0" collapsed="false">
      <c r="A9" s="36" t="s">
        <v>69</v>
      </c>
      <c r="B9" s="61"/>
      <c r="C9" s="38" t="s">
        <v>59</v>
      </c>
      <c r="D9" s="39" t="s">
        <v>15</v>
      </c>
      <c r="E9" s="40" t="s">
        <v>60</v>
      </c>
      <c r="F9" s="41" t="s">
        <v>61</v>
      </c>
    </row>
    <row r="10" customFormat="false" ht="15" hidden="false" customHeight="true" outlineLevel="0" collapsed="false">
      <c r="A10" s="43" t="s">
        <v>62</v>
      </c>
      <c r="B10" s="44" t="s">
        <v>70</v>
      </c>
      <c r="C10" s="45" t="n">
        <v>5</v>
      </c>
      <c r="D10" s="46" t="n">
        <v>0</v>
      </c>
      <c r="E10" s="47" t="n">
        <f aca="false">C10*D10</f>
        <v>0</v>
      </c>
      <c r="F10" s="48"/>
    </row>
    <row r="11" customFormat="false" ht="15" hidden="false" customHeight="true" outlineLevel="0" collapsed="false">
      <c r="A11" s="49" t="s">
        <v>64</v>
      </c>
      <c r="B11" s="50" t="s">
        <v>71</v>
      </c>
      <c r="C11" s="51" t="n">
        <v>10</v>
      </c>
      <c r="D11" s="52" t="n">
        <v>9</v>
      </c>
      <c r="E11" s="53" t="n">
        <f aca="false">C11*D11</f>
        <v>90</v>
      </c>
      <c r="F11" s="54"/>
    </row>
    <row r="12" customFormat="false" ht="15.75" hidden="false" customHeight="true" outlineLevel="0" collapsed="false">
      <c r="A12" s="55" t="s">
        <v>66</v>
      </c>
      <c r="B12" s="56" t="s">
        <v>72</v>
      </c>
      <c r="C12" s="57" t="n">
        <v>15</v>
      </c>
      <c r="D12" s="58" t="n">
        <v>6</v>
      </c>
      <c r="E12" s="59" t="n">
        <f aca="false">C12*D12</f>
        <v>90</v>
      </c>
      <c r="F12" s="60"/>
    </row>
    <row r="13" customFormat="false" ht="15.75" hidden="false" customHeight="true" outlineLevel="0" collapsed="false">
      <c r="A13" s="36" t="s">
        <v>73</v>
      </c>
      <c r="B13" s="61"/>
      <c r="C13" s="62"/>
      <c r="D13" s="63"/>
      <c r="E13" s="40" t="n">
        <f aca="false">SUM(E10:E12)</f>
        <v>180</v>
      </c>
      <c r="F13" s="64"/>
    </row>
    <row r="14" customFormat="false" ht="15.75" hidden="false" customHeight="true" outlineLevel="0" collapsed="false">
      <c r="A14" s="31"/>
      <c r="B14" s="32"/>
      <c r="C14" s="33"/>
      <c r="D14" s="34"/>
      <c r="E14" s="35"/>
      <c r="F14" s="34"/>
    </row>
    <row r="15" customFormat="false" ht="15.75" hidden="false" customHeight="true" outlineLevel="0" collapsed="false">
      <c r="A15" s="65" t="s">
        <v>74</v>
      </c>
      <c r="B15" s="66"/>
      <c r="C15" s="67"/>
      <c r="D15" s="68"/>
      <c r="E15" s="69" t="n">
        <f aca="false">E7+E13</f>
        <v>197</v>
      </c>
      <c r="F15" s="70"/>
    </row>
    <row r="16" customFormat="false" ht="15.75" hidden="false" customHeight="true" outlineLevel="0" collapsed="false">
      <c r="A16" s="31"/>
      <c r="B16" s="32"/>
      <c r="C16" s="33"/>
      <c r="D16" s="34"/>
      <c r="E16" s="35"/>
      <c r="F16" s="34"/>
    </row>
    <row r="17" s="42" customFormat="true" ht="13.5" hidden="false" customHeight="true" outlineLevel="0" collapsed="false">
      <c r="A17" s="36" t="s">
        <v>75</v>
      </c>
      <c r="B17" s="37" t="s">
        <v>76</v>
      </c>
      <c r="C17" s="38" t="s">
        <v>59</v>
      </c>
      <c r="D17" s="39" t="s">
        <v>15</v>
      </c>
      <c r="E17" s="40" t="s">
        <v>60</v>
      </c>
      <c r="F17" s="41" t="s">
        <v>77</v>
      </c>
    </row>
    <row r="18" customFormat="false" ht="57" hidden="false" customHeight="true" outlineLevel="0" collapsed="false">
      <c r="A18" s="43" t="s">
        <v>78</v>
      </c>
      <c r="B18" s="44" t="s">
        <v>79</v>
      </c>
      <c r="C18" s="71" t="n">
        <v>2</v>
      </c>
      <c r="D18" s="46" t="n">
        <v>3</v>
      </c>
      <c r="E18" s="47" t="n">
        <f aca="false">C18*D18</f>
        <v>6</v>
      </c>
      <c r="F18" s="72" t="s">
        <v>80</v>
      </c>
    </row>
    <row r="19" customFormat="false" ht="45.75" hidden="false" customHeight="true" outlineLevel="0" collapsed="false">
      <c r="A19" s="49" t="s">
        <v>81</v>
      </c>
      <c r="B19" s="50" t="s">
        <v>79</v>
      </c>
      <c r="C19" s="73" t="n">
        <v>1</v>
      </c>
      <c r="D19" s="52" t="n">
        <v>4</v>
      </c>
      <c r="E19" s="53" t="n">
        <f aca="false">C19*D19</f>
        <v>4</v>
      </c>
      <c r="F19" s="74" t="s">
        <v>82</v>
      </c>
    </row>
    <row r="20" customFormat="false" ht="45.75" hidden="false" customHeight="true" outlineLevel="0" collapsed="false">
      <c r="A20" s="49" t="s">
        <v>83</v>
      </c>
      <c r="B20" s="50" t="s">
        <v>79</v>
      </c>
      <c r="C20" s="73" t="n">
        <v>1</v>
      </c>
      <c r="D20" s="52" t="n">
        <v>5</v>
      </c>
      <c r="E20" s="53" t="n">
        <f aca="false">C20*D20</f>
        <v>5</v>
      </c>
      <c r="F20" s="74" t="s">
        <v>84</v>
      </c>
    </row>
    <row r="21" customFormat="false" ht="57" hidden="false" customHeight="true" outlineLevel="0" collapsed="false">
      <c r="A21" s="49" t="s">
        <v>85</v>
      </c>
      <c r="B21" s="50" t="s">
        <v>79</v>
      </c>
      <c r="C21" s="73" t="n">
        <v>1</v>
      </c>
      <c r="D21" s="52" t="n">
        <v>4</v>
      </c>
      <c r="E21" s="53" t="n">
        <f aca="false">C21*D21</f>
        <v>4</v>
      </c>
      <c r="F21" s="74" t="s">
        <v>86</v>
      </c>
    </row>
    <row r="22" customFormat="false" ht="23.25" hidden="false" customHeight="true" outlineLevel="0" collapsed="false">
      <c r="A22" s="49" t="s">
        <v>87</v>
      </c>
      <c r="B22" s="50" t="s">
        <v>79</v>
      </c>
      <c r="C22" s="73" t="n">
        <v>1</v>
      </c>
      <c r="D22" s="52" t="n">
        <v>3</v>
      </c>
      <c r="E22" s="53" t="n">
        <f aca="false">C22*D22</f>
        <v>3</v>
      </c>
      <c r="F22" s="74" t="s">
        <v>88</v>
      </c>
    </row>
    <row r="23" customFormat="false" ht="23.25" hidden="false" customHeight="true" outlineLevel="0" collapsed="false">
      <c r="A23" s="49" t="s">
        <v>89</v>
      </c>
      <c r="B23" s="50" t="s">
        <v>79</v>
      </c>
      <c r="C23" s="73" t="n">
        <v>0.5</v>
      </c>
      <c r="D23" s="52" t="n">
        <v>2</v>
      </c>
      <c r="E23" s="53" t="n">
        <f aca="false">C23*D23</f>
        <v>1</v>
      </c>
      <c r="F23" s="74" t="s">
        <v>90</v>
      </c>
    </row>
    <row r="24" customFormat="false" ht="34.5" hidden="false" customHeight="true" outlineLevel="0" collapsed="false">
      <c r="A24" s="49" t="s">
        <v>91</v>
      </c>
      <c r="B24" s="50" t="s">
        <v>79</v>
      </c>
      <c r="C24" s="73" t="n">
        <v>0.5</v>
      </c>
      <c r="D24" s="52" t="n">
        <v>5</v>
      </c>
      <c r="E24" s="53" t="n">
        <f aca="false">C24*D24</f>
        <v>2.5</v>
      </c>
      <c r="F24" s="74" t="s">
        <v>92</v>
      </c>
    </row>
    <row r="25" customFormat="false" ht="34.5" hidden="false" customHeight="true" outlineLevel="0" collapsed="false">
      <c r="A25" s="49" t="s">
        <v>93</v>
      </c>
      <c r="B25" s="50" t="s">
        <v>79</v>
      </c>
      <c r="C25" s="73" t="n">
        <v>2</v>
      </c>
      <c r="D25" s="52" t="n">
        <v>4</v>
      </c>
      <c r="E25" s="53" t="n">
        <f aca="false">C25*D25</f>
        <v>8</v>
      </c>
      <c r="F25" s="74" t="s">
        <v>94</v>
      </c>
    </row>
    <row r="26" customFormat="false" ht="34.5" hidden="false" customHeight="true" outlineLevel="0" collapsed="false">
      <c r="A26" s="49" t="s">
        <v>95</v>
      </c>
      <c r="B26" s="50" t="s">
        <v>79</v>
      </c>
      <c r="C26" s="73" t="n">
        <v>1</v>
      </c>
      <c r="D26" s="52" t="n">
        <v>4</v>
      </c>
      <c r="E26" s="53" t="n">
        <f aca="false">C26*D26</f>
        <v>4</v>
      </c>
      <c r="F26" s="74" t="s">
        <v>96</v>
      </c>
    </row>
    <row r="27" customFormat="false" ht="45.75" hidden="false" customHeight="true" outlineLevel="0" collapsed="false">
      <c r="A27" s="49" t="s">
        <v>97</v>
      </c>
      <c r="B27" s="50" t="s">
        <v>79</v>
      </c>
      <c r="C27" s="73" t="n">
        <v>1</v>
      </c>
      <c r="D27" s="52" t="n">
        <v>5</v>
      </c>
      <c r="E27" s="53" t="n">
        <f aca="false">C27*D27</f>
        <v>5</v>
      </c>
      <c r="F27" s="74" t="s">
        <v>98</v>
      </c>
    </row>
    <row r="28" customFormat="false" ht="34.5" hidden="false" customHeight="true" outlineLevel="0" collapsed="false">
      <c r="A28" s="49" t="s">
        <v>99</v>
      </c>
      <c r="B28" s="50" t="s">
        <v>79</v>
      </c>
      <c r="C28" s="73" t="n">
        <v>1</v>
      </c>
      <c r="D28" s="52" t="n">
        <v>5</v>
      </c>
      <c r="E28" s="53" t="n">
        <f aca="false">C28*D28</f>
        <v>5</v>
      </c>
      <c r="F28" s="74" t="s">
        <v>100</v>
      </c>
    </row>
    <row r="29" customFormat="false" ht="34.5" hidden="false" customHeight="true" outlineLevel="0" collapsed="false">
      <c r="A29" s="49" t="s">
        <v>101</v>
      </c>
      <c r="B29" s="50" t="s">
        <v>79</v>
      </c>
      <c r="C29" s="73" t="n">
        <v>1</v>
      </c>
      <c r="D29" s="52" t="n">
        <v>4</v>
      </c>
      <c r="E29" s="53" t="n">
        <f aca="false">C29*D29</f>
        <v>4</v>
      </c>
      <c r="F29" s="74" t="s">
        <v>102</v>
      </c>
    </row>
    <row r="30" customFormat="false" ht="27" hidden="false" customHeight="true" outlineLevel="0" collapsed="false">
      <c r="A30" s="55" t="s">
        <v>103</v>
      </c>
      <c r="B30" s="56" t="s">
        <v>79</v>
      </c>
      <c r="C30" s="75" t="n">
        <v>1</v>
      </c>
      <c r="D30" s="58" t="n">
        <v>4</v>
      </c>
      <c r="E30" s="59" t="n">
        <f aca="false">C30*D30</f>
        <v>4</v>
      </c>
      <c r="F30" s="76" t="s">
        <v>104</v>
      </c>
    </row>
    <row r="31" customFormat="false" ht="15.75" hidden="false" customHeight="true" outlineLevel="0" collapsed="false">
      <c r="A31" s="36" t="s">
        <v>105</v>
      </c>
      <c r="B31" s="61"/>
      <c r="C31" s="62"/>
      <c r="D31" s="63"/>
      <c r="E31" s="77" t="n">
        <f aca="false">SUM(E18:E30)</f>
        <v>55.5</v>
      </c>
      <c r="F31" s="64"/>
    </row>
    <row r="32" customFormat="false" ht="15.75" hidden="false" customHeight="true" outlineLevel="0" collapsed="false">
      <c r="A32" s="78" t="s">
        <v>106</v>
      </c>
      <c r="B32" s="79" t="s">
        <v>107</v>
      </c>
      <c r="C32" s="80"/>
      <c r="D32" s="81"/>
      <c r="E32" s="82" t="n">
        <f aca="false">0.06+(0.01*E31)</f>
        <v>0.615</v>
      </c>
      <c r="F32" s="83"/>
    </row>
    <row r="33" customFormat="false" ht="15.75" hidden="false" customHeight="true" outlineLevel="0" collapsed="false">
      <c r="A33" s="31"/>
      <c r="B33" s="32"/>
      <c r="C33" s="33"/>
      <c r="D33" s="34"/>
      <c r="E33" s="35"/>
      <c r="F33" s="34"/>
    </row>
    <row r="34" s="42" customFormat="true" ht="26.25" hidden="false" customHeight="true" outlineLevel="0" collapsed="false">
      <c r="A34" s="36" t="s">
        <v>108</v>
      </c>
      <c r="B34" s="37" t="s">
        <v>109</v>
      </c>
      <c r="C34" s="38" t="s">
        <v>59</v>
      </c>
      <c r="D34" s="39" t="s">
        <v>15</v>
      </c>
      <c r="E34" s="40" t="s">
        <v>60</v>
      </c>
      <c r="F34" s="39" t="s">
        <v>77</v>
      </c>
      <c r="G34" s="41" t="s">
        <v>110</v>
      </c>
    </row>
    <row r="35" customFormat="false" ht="15" hidden="false" customHeight="true" outlineLevel="0" collapsed="false">
      <c r="A35" s="84" t="s">
        <v>111</v>
      </c>
      <c r="B35" s="44" t="s">
        <v>112</v>
      </c>
      <c r="C35" s="71" t="n">
        <v>1.5</v>
      </c>
      <c r="D35" s="46" t="n">
        <v>3</v>
      </c>
      <c r="E35" s="47" t="n">
        <f aca="false">C35*D35</f>
        <v>4.5</v>
      </c>
      <c r="F35" s="85"/>
      <c r="G35" s="86" t="n">
        <f aca="false">IF(E35&lt;3,1,0)</f>
        <v>0</v>
      </c>
    </row>
    <row r="36" customFormat="false" ht="15" hidden="false" customHeight="true" outlineLevel="0" collapsed="false">
      <c r="A36" s="87" t="s">
        <v>113</v>
      </c>
      <c r="B36" s="50" t="s">
        <v>112</v>
      </c>
      <c r="C36" s="73" t="n">
        <v>0.5</v>
      </c>
      <c r="D36" s="52" t="n">
        <v>2</v>
      </c>
      <c r="E36" s="53" t="n">
        <f aca="false">C36*D36</f>
        <v>1</v>
      </c>
      <c r="F36" s="88"/>
      <c r="G36" s="6" t="n">
        <f aca="false">IF(E36&lt;3,1,0)</f>
        <v>1</v>
      </c>
    </row>
    <row r="37" customFormat="false" ht="15" hidden="false" customHeight="true" outlineLevel="0" collapsed="false">
      <c r="A37" s="87" t="s">
        <v>114</v>
      </c>
      <c r="B37" s="50" t="s">
        <v>112</v>
      </c>
      <c r="C37" s="73" t="n">
        <v>1</v>
      </c>
      <c r="D37" s="52" t="n">
        <v>4</v>
      </c>
      <c r="E37" s="53" t="n">
        <f aca="false">C37*D37</f>
        <v>4</v>
      </c>
      <c r="F37" s="88"/>
      <c r="G37" s="6" t="n">
        <f aca="false">IF(E37&lt;3,1,0)</f>
        <v>0</v>
      </c>
    </row>
    <row r="38" customFormat="false" ht="15" hidden="false" customHeight="true" outlineLevel="0" collapsed="false">
      <c r="A38" s="87" t="s">
        <v>115</v>
      </c>
      <c r="B38" s="50" t="s">
        <v>112</v>
      </c>
      <c r="C38" s="73" t="n">
        <v>0.5</v>
      </c>
      <c r="D38" s="52" t="n">
        <v>4</v>
      </c>
      <c r="E38" s="53" t="n">
        <f aca="false">C38*D38</f>
        <v>2</v>
      </c>
      <c r="F38" s="88"/>
      <c r="G38" s="6" t="n">
        <f aca="false">IF(E38&lt;3,1,0)</f>
        <v>1</v>
      </c>
    </row>
    <row r="39" customFormat="false" ht="15" hidden="false" customHeight="true" outlineLevel="0" collapsed="false">
      <c r="A39" s="87" t="s">
        <v>116</v>
      </c>
      <c r="B39" s="50" t="s">
        <v>117</v>
      </c>
      <c r="C39" s="73" t="n">
        <v>1</v>
      </c>
      <c r="D39" s="52" t="n">
        <v>5</v>
      </c>
      <c r="E39" s="53" t="n">
        <f aca="false">C39*D39</f>
        <v>5</v>
      </c>
      <c r="F39" s="88"/>
      <c r="G39" s="6" t="n">
        <f aca="false">IF(E39&lt;3,1,0)</f>
        <v>0</v>
      </c>
    </row>
    <row r="40" customFormat="false" ht="15" hidden="false" customHeight="true" outlineLevel="0" collapsed="false">
      <c r="A40" s="87" t="s">
        <v>118</v>
      </c>
      <c r="B40" s="50" t="s">
        <v>119</v>
      </c>
      <c r="C40" s="73" t="n">
        <v>2</v>
      </c>
      <c r="D40" s="52" t="n">
        <v>4</v>
      </c>
      <c r="E40" s="53" t="n">
        <f aca="false">C40*D40</f>
        <v>8</v>
      </c>
      <c r="F40" s="88"/>
      <c r="G40" s="6" t="n">
        <f aca="false">IF(E40&lt;3,1,0)</f>
        <v>0</v>
      </c>
    </row>
    <row r="41" customFormat="false" ht="15" hidden="false" customHeight="true" outlineLevel="0" collapsed="false">
      <c r="A41" s="87" t="s">
        <v>120</v>
      </c>
      <c r="B41" s="50" t="s">
        <v>121</v>
      </c>
      <c r="C41" s="73" t="n">
        <v>-1</v>
      </c>
      <c r="D41" s="52" t="n">
        <v>2</v>
      </c>
      <c r="E41" s="53" t="n">
        <f aca="false">C41*D41</f>
        <v>-2</v>
      </c>
      <c r="F41" s="88"/>
      <c r="G41" s="6" t="n">
        <f aca="false">IF(E41&gt;3,1,0)</f>
        <v>0</v>
      </c>
    </row>
    <row r="42" customFormat="false" ht="15.75" hidden="false" customHeight="true" outlineLevel="0" collapsed="false">
      <c r="A42" s="89" t="s">
        <v>122</v>
      </c>
      <c r="B42" s="56" t="s">
        <v>123</v>
      </c>
      <c r="C42" s="75" t="s">
        <v>124</v>
      </c>
      <c r="D42" s="58" t="n">
        <v>3</v>
      </c>
      <c r="E42" s="59" t="n">
        <f aca="false">C42*D42</f>
        <v>-3</v>
      </c>
      <c r="F42" s="90"/>
      <c r="G42" s="91" t="n">
        <f aca="false">IF(E42&gt;3,1,0)</f>
        <v>0</v>
      </c>
    </row>
    <row r="43" customFormat="false" ht="15.75" hidden="false" customHeight="true" outlineLevel="0" collapsed="false">
      <c r="A43" s="36" t="s">
        <v>125</v>
      </c>
      <c r="B43" s="61"/>
      <c r="C43" s="62"/>
      <c r="D43" s="63"/>
      <c r="E43" s="77" t="n">
        <f aca="false">SUM(E35:E42)</f>
        <v>19.5</v>
      </c>
      <c r="F43" s="63"/>
      <c r="G43" s="92" t="n">
        <f aca="false">SUM(G35:G42)</f>
        <v>2</v>
      </c>
    </row>
    <row r="44" customFormat="false" ht="15.75" hidden="false" customHeight="true" outlineLevel="0" collapsed="false">
      <c r="A44" s="36" t="s">
        <v>126</v>
      </c>
      <c r="B44" s="37" t="s">
        <v>127</v>
      </c>
      <c r="C44" s="62"/>
      <c r="D44" s="63"/>
      <c r="E44" s="77" t="n">
        <f aca="false">1.4 + (-0.03*E43)</f>
        <v>0.815</v>
      </c>
      <c r="F44" s="93"/>
      <c r="G44" s="94"/>
    </row>
    <row r="45" customFormat="false" ht="15.75" hidden="false" customHeight="true" outlineLevel="0" collapsed="false">
      <c r="A45" s="31"/>
      <c r="B45" s="32"/>
      <c r="C45" s="33"/>
      <c r="D45" s="34"/>
      <c r="E45" s="35"/>
      <c r="F45" s="34"/>
    </row>
    <row r="46" customFormat="false" ht="15" hidden="false" customHeight="true" outlineLevel="0" collapsed="false">
      <c r="A46" s="95" t="s">
        <v>128</v>
      </c>
      <c r="B46" s="96"/>
      <c r="C46" s="97"/>
      <c r="D46" s="98"/>
      <c r="E46" s="99" t="n">
        <f aca="false">E15 * E32 *E44</f>
        <v>98.741325</v>
      </c>
      <c r="F46" s="100"/>
    </row>
    <row r="47" customFormat="false" ht="15" hidden="false" customHeight="true" outlineLevel="0" collapsed="false">
      <c r="A47" s="101" t="s">
        <v>129</v>
      </c>
      <c r="B47" s="102"/>
      <c r="C47" s="103"/>
      <c r="D47" s="104"/>
      <c r="E47" s="105" t="n">
        <v>40</v>
      </c>
      <c r="F47" s="106"/>
    </row>
    <row r="48" customFormat="false" ht="15.75" hidden="false" customHeight="true" outlineLevel="0" collapsed="false">
      <c r="A48" s="101" t="s">
        <v>130</v>
      </c>
      <c r="B48" s="102"/>
      <c r="C48" s="103"/>
      <c r="D48" s="104"/>
      <c r="E48" s="107" t="n">
        <f aca="false">E46*E47</f>
        <v>3949.653</v>
      </c>
      <c r="F48" s="106"/>
    </row>
    <row r="49" customFormat="false" ht="15" hidden="false" customHeight="true" outlineLevel="0" collapsed="false">
      <c r="A49" s="101" t="s">
        <v>131</v>
      </c>
      <c r="B49" s="102"/>
      <c r="C49" s="103"/>
      <c r="D49" s="104"/>
      <c r="E49" s="108" t="n">
        <v>0.8</v>
      </c>
      <c r="F49" s="109" t="s">
        <v>132</v>
      </c>
    </row>
    <row r="50" customFormat="false" ht="15.75" hidden="false" customHeight="true" outlineLevel="0" collapsed="false">
      <c r="A50" s="110" t="s">
        <v>133</v>
      </c>
      <c r="B50" s="111"/>
      <c r="C50" s="112"/>
      <c r="D50" s="113"/>
      <c r="E50" s="107" t="n">
        <f aca="false">E48*(1+E49)</f>
        <v>7109.3754</v>
      </c>
      <c r="F50" s="114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2" width="20.42"/>
    <col collapsed="false" customWidth="true" hidden="false" outlineLevel="0" max="2" min="2" style="12" width="11.71"/>
    <col collapsed="false" customWidth="true" hidden="false" outlineLevel="0" max="3" min="3" style="115" width="13.57"/>
    <col collapsed="false" customWidth="true" hidden="false" outlineLevel="0" max="5" min="5" style="12" width="19.57"/>
    <col collapsed="false" customWidth="true" hidden="false" outlineLevel="0" max="8" min="8" style="12" width="18.14"/>
    <col collapsed="false" customWidth="true" hidden="false" outlineLevel="0" max="10" min="10" style="12" width="17.15"/>
  </cols>
  <sheetData>
    <row r="1" customFormat="false" ht="15" hidden="false" customHeight="true" outlineLevel="0" collapsed="false">
      <c r="A1" s="116" t="s">
        <v>134</v>
      </c>
      <c r="B1" s="116"/>
      <c r="C1" s="116"/>
    </row>
    <row r="2" customFormat="false" ht="15" hidden="false" customHeight="true" outlineLevel="0" collapsed="false">
      <c r="A2" s="117" t="s">
        <v>135</v>
      </c>
      <c r="B2" s="15" t="s">
        <v>136</v>
      </c>
      <c r="C2" s="118" t="s">
        <v>137</v>
      </c>
      <c r="E2" s="117" t="s">
        <v>138</v>
      </c>
      <c r="F2" s="117" t="s">
        <v>139</v>
      </c>
      <c r="G2" s="117" t="s">
        <v>140</v>
      </c>
      <c r="H2" s="117" t="s">
        <v>141</v>
      </c>
      <c r="I2" s="117" t="s">
        <v>142</v>
      </c>
    </row>
    <row r="3" customFormat="false" ht="15" hidden="false" customHeight="true" outlineLevel="0" collapsed="false">
      <c r="A3" s="6" t="s">
        <v>143</v>
      </c>
      <c r="B3" s="119" t="n">
        <v>0.25</v>
      </c>
      <c r="C3" s="120" t="n">
        <f aca="false">+C7*B3</f>
        <v>1777.34385</v>
      </c>
      <c r="E3" s="120" t="n">
        <f aca="false">+$C$7</f>
        <v>7109.3754</v>
      </c>
      <c r="F3" s="6" t="n">
        <v>160</v>
      </c>
      <c r="G3" s="6" t="n">
        <f aca="false">+E3/F3</f>
        <v>44.43359625</v>
      </c>
      <c r="H3" s="6" t="n">
        <v>2</v>
      </c>
      <c r="I3" s="6" t="n">
        <f aca="false">+G3/H3</f>
        <v>22.216798125</v>
      </c>
    </row>
    <row r="4" customFormat="false" ht="15" hidden="false" customHeight="true" outlineLevel="0" collapsed="false">
      <c r="A4" s="6" t="s">
        <v>144</v>
      </c>
      <c r="B4" s="119" t="n">
        <v>0.2</v>
      </c>
      <c r="C4" s="120" t="n">
        <f aca="false">+C7*B4</f>
        <v>1421.87508</v>
      </c>
      <c r="E4" s="120" t="n">
        <f aca="false">+$C$7</f>
        <v>7109.3754</v>
      </c>
      <c r="F4" s="6" t="n">
        <v>160</v>
      </c>
      <c r="G4" s="6" t="n">
        <f aca="false">+E4/F4</f>
        <v>44.43359625</v>
      </c>
      <c r="H4" s="6" t="n">
        <v>3</v>
      </c>
      <c r="I4" s="6" t="n">
        <f aca="false">+G4/H4</f>
        <v>14.81119875</v>
      </c>
    </row>
    <row r="5" customFormat="false" ht="15" hidden="false" customHeight="true" outlineLevel="0" collapsed="false">
      <c r="A5" s="6" t="s">
        <v>145</v>
      </c>
      <c r="B5" s="119" t="n">
        <v>0.35</v>
      </c>
      <c r="C5" s="120" t="n">
        <f aca="false">+C7*B5</f>
        <v>2488.28139</v>
      </c>
      <c r="E5" s="120" t="n">
        <f aca="false">+$C$7</f>
        <v>7109.3754</v>
      </c>
      <c r="F5" s="6" t="n">
        <v>160</v>
      </c>
      <c r="G5" s="6" t="n">
        <f aca="false">+E5/F5</f>
        <v>44.43359625</v>
      </c>
      <c r="H5" s="6" t="n">
        <v>4</v>
      </c>
      <c r="I5" s="6" t="n">
        <f aca="false">+G5/H5</f>
        <v>11.1083990625</v>
      </c>
    </row>
    <row r="6" customFormat="false" ht="15" hidden="false" customHeight="true" outlineLevel="0" collapsed="false">
      <c r="A6" s="6" t="s">
        <v>146</v>
      </c>
      <c r="B6" s="119" t="n">
        <v>0.2</v>
      </c>
      <c r="C6" s="120" t="n">
        <f aca="false">+C7*B6</f>
        <v>1421.87508</v>
      </c>
      <c r="E6" s="120" t="n">
        <f aca="false">+$C$7</f>
        <v>7109.3754</v>
      </c>
      <c r="F6" s="6" t="n">
        <v>160</v>
      </c>
      <c r="G6" s="6" t="n">
        <f aca="false">+E6/F6</f>
        <v>44.43359625</v>
      </c>
      <c r="H6" s="6" t="n">
        <v>5</v>
      </c>
      <c r="I6" s="6" t="n">
        <f aca="false">+G6/H6</f>
        <v>8.88671925</v>
      </c>
    </row>
    <row r="7" customFormat="false" ht="15" hidden="false" customHeight="true" outlineLevel="0" collapsed="false">
      <c r="A7" s="6" t="s">
        <v>13</v>
      </c>
      <c r="B7" s="119" t="n">
        <f aca="false">SUM(B3:B6)</f>
        <v>1</v>
      </c>
      <c r="C7" s="121" t="n">
        <f aca="false">+UUCP!E50</f>
        <v>7109.3754</v>
      </c>
      <c r="E7" s="120" t="n">
        <f aca="false">+$C$7</f>
        <v>7109.3754</v>
      </c>
      <c r="F7" s="6" t="n">
        <v>160</v>
      </c>
      <c r="G7" s="6" t="n">
        <f aca="false">+E7/F7</f>
        <v>44.43359625</v>
      </c>
      <c r="H7" s="6" t="n">
        <v>6</v>
      </c>
      <c r="I7" s="6" t="n">
        <f aca="false">+G7/H7</f>
        <v>7.405599375</v>
      </c>
    </row>
    <row r="8" customFormat="false" ht="15" hidden="false" customHeight="true" outlineLevel="0" collapsed="false">
      <c r="E8" s="120" t="n">
        <f aca="false">+$C$7</f>
        <v>7109.3754</v>
      </c>
      <c r="F8" s="6" t="n">
        <v>160</v>
      </c>
      <c r="G8" s="6" t="n">
        <f aca="false">+E8/F8</f>
        <v>44.43359625</v>
      </c>
      <c r="H8" s="6" t="n">
        <v>7</v>
      </c>
      <c r="I8" s="6" t="n">
        <f aca="false">+G8/H8</f>
        <v>6.34765660714286</v>
      </c>
    </row>
    <row r="9" customFormat="false" ht="15" hidden="false" customHeight="true" outlineLevel="0" collapsed="false">
      <c r="A9" s="122" t="s">
        <v>147</v>
      </c>
      <c r="E9" s="120" t="n">
        <f aca="false">+$C$7</f>
        <v>7109.3754</v>
      </c>
      <c r="F9" s="6" t="n">
        <v>160</v>
      </c>
      <c r="G9" s="6" t="n">
        <f aca="false">+E9/F9</f>
        <v>44.43359625</v>
      </c>
      <c r="H9" s="6" t="n">
        <v>8</v>
      </c>
      <c r="I9" s="6" t="n">
        <f aca="false">+G9/H9</f>
        <v>5.55419953125</v>
      </c>
    </row>
    <row r="10" customFormat="false" ht="15" hidden="false" customHeight="true" outlineLevel="0" collapsed="false">
      <c r="A10" s="105" t="s">
        <v>135</v>
      </c>
      <c r="B10" s="105" t="s">
        <v>148</v>
      </c>
      <c r="E10" s="120" t="n">
        <f aca="false">+$C$7</f>
        <v>7109.3754</v>
      </c>
      <c r="F10" s="6" t="n">
        <v>160</v>
      </c>
      <c r="G10" s="6" t="n">
        <f aca="false">+E10/F10</f>
        <v>44.43359625</v>
      </c>
      <c r="H10" s="6" t="n">
        <v>9</v>
      </c>
      <c r="I10" s="6" t="n">
        <f aca="false">+G10/H10</f>
        <v>4.93706625</v>
      </c>
    </row>
    <row r="11" customFormat="false" ht="15" hidden="false" customHeight="true" outlineLevel="0" collapsed="false">
      <c r="A11" s="6" t="s">
        <v>143</v>
      </c>
      <c r="B11" s="120" t="n">
        <f aca="false">+K18</f>
        <v>277709.9765625</v>
      </c>
    </row>
    <row r="12" customFormat="false" ht="15" hidden="false" customHeight="true" outlineLevel="0" collapsed="false">
      <c r="A12" s="6" t="s">
        <v>144</v>
      </c>
      <c r="B12" s="120" t="n">
        <f aca="false">+K30</f>
        <v>266601.5775</v>
      </c>
    </row>
    <row r="13" customFormat="false" ht="15" hidden="false" customHeight="true" outlineLevel="0" collapsed="false">
      <c r="A13" s="6" t="s">
        <v>145</v>
      </c>
      <c r="B13" s="123" t="n">
        <f aca="false">+K41</f>
        <v>622070.3475</v>
      </c>
      <c r="E13" s="116" t="s">
        <v>143</v>
      </c>
      <c r="F13" s="116"/>
      <c r="G13" s="116"/>
      <c r="H13" s="116"/>
      <c r="I13" s="116"/>
      <c r="J13" s="116"/>
      <c r="K13" s="116"/>
    </row>
    <row r="14" customFormat="false" ht="15" hidden="false" customHeight="true" outlineLevel="0" collapsed="false">
      <c r="A14" s="6" t="s">
        <v>146</v>
      </c>
      <c r="B14" s="120" t="n">
        <f aca="false">+K52</f>
        <v>177734.385</v>
      </c>
      <c r="E14" s="117" t="s">
        <v>138</v>
      </c>
      <c r="F14" s="117" t="s">
        <v>139</v>
      </c>
      <c r="G14" s="117" t="s">
        <v>140</v>
      </c>
      <c r="H14" s="117" t="s">
        <v>141</v>
      </c>
      <c r="I14" s="117" t="s">
        <v>142</v>
      </c>
      <c r="J14" s="117" t="s">
        <v>149</v>
      </c>
      <c r="K14" s="117" t="s">
        <v>150</v>
      </c>
    </row>
    <row r="15" customFormat="false" ht="15" hidden="false" customHeight="true" outlineLevel="0" collapsed="false">
      <c r="A15" s="6" t="s">
        <v>13</v>
      </c>
      <c r="B15" s="121" t="n">
        <f aca="false">SUM(B11:B14)</f>
        <v>1344116.2865625</v>
      </c>
      <c r="E15" s="120" t="n">
        <f aca="false">+$C$3</f>
        <v>1777.34385</v>
      </c>
      <c r="F15" s="120" t="n">
        <v>160</v>
      </c>
      <c r="G15" s="6" t="n">
        <f aca="false">+E15/F15</f>
        <v>11.1083990625</v>
      </c>
      <c r="H15" s="124" t="n">
        <v>1</v>
      </c>
      <c r="I15" s="6" t="n">
        <f aca="false">+G15/H15</f>
        <v>11.1083990625</v>
      </c>
      <c r="J15" s="120" t="n">
        <v>25000</v>
      </c>
      <c r="K15" s="120" t="n">
        <f aca="false">+J15*H15*I15</f>
        <v>277709.9765625</v>
      </c>
    </row>
    <row r="16" customFormat="false" ht="15" hidden="false" customHeight="true" outlineLevel="0" collapsed="false">
      <c r="E16" s="120" t="n">
        <f aca="false">+$C$3</f>
        <v>1777.34385</v>
      </c>
      <c r="F16" s="120" t="n">
        <v>160</v>
      </c>
      <c r="G16" s="6" t="n">
        <f aca="false">+E16/F16</f>
        <v>11.1083990625</v>
      </c>
      <c r="H16" s="6" t="n">
        <v>2</v>
      </c>
      <c r="I16" s="6" t="n">
        <f aca="false">+G16/H16</f>
        <v>5.55419953125</v>
      </c>
      <c r="J16" s="120" t="n">
        <v>25000</v>
      </c>
      <c r="K16" s="120" t="n">
        <f aca="false">+J16*H16*I16</f>
        <v>277709.9765625</v>
      </c>
    </row>
    <row r="17" customFormat="false" ht="15" hidden="false" customHeight="true" outlineLevel="0" collapsed="false">
      <c r="A17" s="122" t="s">
        <v>151</v>
      </c>
      <c r="E17" s="120" t="n">
        <f aca="false">+$C$3</f>
        <v>1777.34385</v>
      </c>
      <c r="F17" s="120" t="n">
        <v>160</v>
      </c>
      <c r="G17" s="6" t="n">
        <f aca="false">+E17/F17</f>
        <v>11.1083990625</v>
      </c>
      <c r="H17" s="9" t="n">
        <v>3</v>
      </c>
      <c r="I17" s="9" t="n">
        <f aca="false">+G17/H17</f>
        <v>3.7027996875</v>
      </c>
      <c r="J17" s="120" t="n">
        <v>25000</v>
      </c>
      <c r="K17" s="120" t="n">
        <f aca="false">+J17*H17*I17</f>
        <v>277709.9765625</v>
      </c>
    </row>
    <row r="18" customFormat="false" ht="15" hidden="false" customHeight="true" outlineLevel="0" collapsed="false">
      <c r="A18" s="105" t="s">
        <v>135</v>
      </c>
      <c r="B18" s="105" t="s">
        <v>15</v>
      </c>
      <c r="C18" s="105" t="s">
        <v>52</v>
      </c>
      <c r="E18" s="120" t="n">
        <f aca="false">+$C$3</f>
        <v>1777.34385</v>
      </c>
      <c r="F18" s="120" t="n">
        <v>160</v>
      </c>
      <c r="G18" s="6" t="n">
        <f aca="false">+E18/F18</f>
        <v>11.1083990625</v>
      </c>
      <c r="H18" s="9" t="n">
        <v>4</v>
      </c>
      <c r="I18" s="6" t="n">
        <f aca="false">+G18/H18</f>
        <v>2.777099765625</v>
      </c>
      <c r="J18" s="120" t="n">
        <v>25000</v>
      </c>
      <c r="K18" s="120" t="n">
        <f aca="false">+J18*H18*I18</f>
        <v>277709.9765625</v>
      </c>
    </row>
    <row r="19" customFormat="false" ht="15" hidden="false" customHeight="true" outlineLevel="0" collapsed="false">
      <c r="A19" s="6" t="s">
        <v>143</v>
      </c>
      <c r="B19" s="23" t="n">
        <f aca="false">+H15</f>
        <v>1</v>
      </c>
      <c r="C19" s="120" t="n">
        <f aca="false">+I15</f>
        <v>11.1083990625</v>
      </c>
      <c r="E19" s="120" t="n">
        <f aca="false">+$C$3</f>
        <v>1777.34385</v>
      </c>
      <c r="F19" s="120" t="n">
        <v>160</v>
      </c>
      <c r="G19" s="6" t="n">
        <f aca="false">+E19/F19</f>
        <v>11.1083990625</v>
      </c>
      <c r="H19" s="6" t="n">
        <v>5</v>
      </c>
      <c r="I19" s="6" t="n">
        <f aca="false">+G19/H19</f>
        <v>2.2216798125</v>
      </c>
      <c r="J19" s="120" t="n">
        <v>25000</v>
      </c>
      <c r="K19" s="120" t="n">
        <f aca="false">+J19*H19*I19</f>
        <v>277709.9765625</v>
      </c>
    </row>
    <row r="20" customFormat="false" ht="15" hidden="false" customHeight="true" outlineLevel="0" collapsed="false">
      <c r="A20" s="6" t="s">
        <v>144</v>
      </c>
      <c r="B20" s="23" t="n">
        <f aca="false">+H27</f>
        <v>1</v>
      </c>
      <c r="C20" s="120" t="n">
        <f aca="false">+I27</f>
        <v>8.88671925</v>
      </c>
      <c r="E20" s="120" t="n">
        <f aca="false">+$C$3</f>
        <v>1777.34385</v>
      </c>
      <c r="F20" s="120" t="n">
        <v>160</v>
      </c>
      <c r="G20" s="6" t="n">
        <f aca="false">+E20/F20</f>
        <v>11.1083990625</v>
      </c>
      <c r="H20" s="6" t="n">
        <v>6</v>
      </c>
      <c r="I20" s="6" t="n">
        <f aca="false">+G20/H20</f>
        <v>1.85139984375</v>
      </c>
      <c r="J20" s="120" t="n">
        <v>25000</v>
      </c>
      <c r="K20" s="120" t="n">
        <f aca="false">+J20*H20*I20</f>
        <v>277709.9765625</v>
      </c>
    </row>
    <row r="21" customFormat="false" ht="15" hidden="false" customHeight="true" outlineLevel="0" collapsed="false">
      <c r="A21" s="6" t="s">
        <v>145</v>
      </c>
      <c r="B21" s="125" t="n">
        <f aca="false">+H39</f>
        <v>2</v>
      </c>
      <c r="C21" s="123" t="n">
        <f aca="false">+I39</f>
        <v>7.77587934375</v>
      </c>
      <c r="E21" s="120" t="n">
        <f aca="false">+$C$3</f>
        <v>1777.34385</v>
      </c>
      <c r="F21" s="120" t="n">
        <v>160</v>
      </c>
      <c r="G21" s="6" t="n">
        <f aca="false">+E21/F21</f>
        <v>11.1083990625</v>
      </c>
      <c r="H21" s="6" t="n">
        <v>7</v>
      </c>
      <c r="I21" s="6" t="n">
        <f aca="false">+G21/H21</f>
        <v>1.58691415178571</v>
      </c>
      <c r="J21" s="120" t="n">
        <v>25000</v>
      </c>
      <c r="K21" s="120" t="n">
        <f aca="false">+J21*H21*I21</f>
        <v>277709.9765625</v>
      </c>
    </row>
    <row r="22" customFormat="false" ht="15" hidden="false" customHeight="true" outlineLevel="0" collapsed="false">
      <c r="A22" s="6" t="s">
        <v>146</v>
      </c>
      <c r="B22" s="23" t="n">
        <f aca="false">+H50</f>
        <v>2</v>
      </c>
      <c r="C22" s="120" t="n">
        <f aca="false">+I50</f>
        <v>4.443359625</v>
      </c>
      <c r="E22" s="120" t="n">
        <f aca="false">+$C$3</f>
        <v>1777.34385</v>
      </c>
      <c r="F22" s="120" t="n">
        <v>160</v>
      </c>
      <c r="G22" s="6" t="n">
        <f aca="false">+E22/F22</f>
        <v>11.1083990625</v>
      </c>
      <c r="H22" s="6" t="n">
        <v>8</v>
      </c>
      <c r="I22" s="6" t="n">
        <f aca="false">+G22/H22</f>
        <v>1.3885498828125</v>
      </c>
      <c r="J22" s="120" t="n">
        <v>25000</v>
      </c>
      <c r="K22" s="120" t="n">
        <f aca="false">+J22*H22*I22</f>
        <v>277709.9765625</v>
      </c>
    </row>
    <row r="23" customFormat="false" ht="15" hidden="false" customHeight="true" outlineLevel="0" collapsed="false">
      <c r="A23" s="6" t="s">
        <v>13</v>
      </c>
      <c r="B23" s="126" t="n">
        <f aca="false">SUM(B19:B22)</f>
        <v>6</v>
      </c>
      <c r="C23" s="121" t="n">
        <f aca="false">SUM(C19:C22)</f>
        <v>32.21435728125</v>
      </c>
      <c r="E23" s="120" t="n">
        <f aca="false">+$C$3</f>
        <v>1777.34385</v>
      </c>
      <c r="F23" s="120" t="n">
        <v>160</v>
      </c>
      <c r="G23" s="6" t="n">
        <f aca="false">+E23/F23</f>
        <v>11.1083990625</v>
      </c>
      <c r="H23" s="6" t="n">
        <v>9</v>
      </c>
      <c r="I23" s="6" t="n">
        <f aca="false">+G23/H23</f>
        <v>1.2342665625</v>
      </c>
      <c r="J23" s="120" t="n">
        <v>25000</v>
      </c>
      <c r="K23" s="120" t="n">
        <f aca="false">+J23*H23*I23</f>
        <v>277709.9765625</v>
      </c>
    </row>
    <row r="25" customFormat="false" ht="15" hidden="false" customHeight="true" outlineLevel="0" collapsed="false">
      <c r="E25" s="127" t="s">
        <v>144</v>
      </c>
      <c r="F25" s="127"/>
      <c r="G25" s="127"/>
      <c r="H25" s="127"/>
      <c r="I25" s="127"/>
      <c r="J25" s="127"/>
      <c r="K25" s="127"/>
    </row>
    <row r="26" customFormat="false" ht="15" hidden="false" customHeight="true" outlineLevel="0" collapsed="false">
      <c r="E26" s="117" t="s">
        <v>138</v>
      </c>
      <c r="F26" s="117" t="s">
        <v>139</v>
      </c>
      <c r="G26" s="117" t="s">
        <v>140</v>
      </c>
      <c r="H26" s="117" t="s">
        <v>141</v>
      </c>
      <c r="I26" s="117" t="s">
        <v>142</v>
      </c>
      <c r="J26" s="117" t="s">
        <v>152</v>
      </c>
      <c r="K26" s="117" t="s">
        <v>150</v>
      </c>
    </row>
    <row r="27" customFormat="false" ht="15" hidden="false" customHeight="true" outlineLevel="0" collapsed="false">
      <c r="E27" s="120" t="n">
        <f aca="false">+$C$4</f>
        <v>1421.87508</v>
      </c>
      <c r="F27" s="120" t="n">
        <v>160</v>
      </c>
      <c r="G27" s="6" t="n">
        <f aca="false">+E27/F27</f>
        <v>8.88671925</v>
      </c>
      <c r="H27" s="124" t="n">
        <v>1</v>
      </c>
      <c r="I27" s="6" t="n">
        <f aca="false">+G27/H27</f>
        <v>8.88671925</v>
      </c>
      <c r="J27" s="120" t="n">
        <v>30000</v>
      </c>
      <c r="K27" s="120" t="n">
        <f aca="false">+J27*H27*I27</f>
        <v>266601.5775</v>
      </c>
    </row>
    <row r="28" customFormat="false" ht="15" hidden="false" customHeight="true" outlineLevel="0" collapsed="false">
      <c r="E28" s="120" t="n">
        <f aca="false">+$C$4</f>
        <v>1421.87508</v>
      </c>
      <c r="F28" s="120" t="n">
        <v>160</v>
      </c>
      <c r="G28" s="6" t="n">
        <f aca="false">+E28/F28</f>
        <v>8.88671925</v>
      </c>
      <c r="H28" s="6" t="n">
        <v>2</v>
      </c>
      <c r="I28" s="6" t="n">
        <f aca="false">+G28/H28</f>
        <v>4.443359625</v>
      </c>
      <c r="J28" s="120" t="n">
        <v>30000</v>
      </c>
      <c r="K28" s="120" t="n">
        <f aca="false">+J28*H28*I28</f>
        <v>266601.5775</v>
      </c>
    </row>
    <row r="29" customFormat="false" ht="15" hidden="false" customHeight="true" outlineLevel="0" collapsed="false">
      <c r="E29" s="120" t="n">
        <f aca="false">+$C$4</f>
        <v>1421.87508</v>
      </c>
      <c r="F29" s="120" t="n">
        <v>160</v>
      </c>
      <c r="G29" s="6" t="n">
        <f aca="false">+E29/F29</f>
        <v>8.88671925</v>
      </c>
      <c r="H29" s="9" t="n">
        <v>3</v>
      </c>
      <c r="I29" s="9" t="n">
        <f aca="false">+G29/H29</f>
        <v>2.96223975</v>
      </c>
      <c r="J29" s="120" t="n">
        <v>30000</v>
      </c>
      <c r="K29" s="120" t="n">
        <f aca="false">+J29*H29*I29</f>
        <v>266601.5775</v>
      </c>
    </row>
    <row r="30" customFormat="false" ht="15" hidden="false" customHeight="true" outlineLevel="0" collapsed="false">
      <c r="E30" s="120" t="n">
        <f aca="false">+$C$4</f>
        <v>1421.87508</v>
      </c>
      <c r="F30" s="120" t="n">
        <v>160</v>
      </c>
      <c r="G30" s="6" t="n">
        <f aca="false">+E30/F30</f>
        <v>8.88671925</v>
      </c>
      <c r="H30" s="6" t="n">
        <v>4</v>
      </c>
      <c r="I30" s="6" t="n">
        <f aca="false">+G30/H30</f>
        <v>2.2216798125</v>
      </c>
      <c r="J30" s="120" t="n">
        <v>30000</v>
      </c>
      <c r="K30" s="120" t="n">
        <f aca="false">+J30*H30*I30</f>
        <v>266601.5775</v>
      </c>
    </row>
    <row r="31" customFormat="false" ht="15" hidden="false" customHeight="true" outlineLevel="0" collapsed="false">
      <c r="E31" s="120" t="n">
        <f aca="false">+$C$4</f>
        <v>1421.87508</v>
      </c>
      <c r="F31" s="120" t="n">
        <v>160</v>
      </c>
      <c r="G31" s="6" t="n">
        <f aca="false">+E31/F31</f>
        <v>8.88671925</v>
      </c>
      <c r="H31" s="6" t="n">
        <v>5</v>
      </c>
      <c r="I31" s="6" t="n">
        <f aca="false">+G31/H31</f>
        <v>1.77734385</v>
      </c>
      <c r="J31" s="120" t="n">
        <v>30000</v>
      </c>
      <c r="K31" s="120" t="n">
        <f aca="false">+J31*H31*I31</f>
        <v>266601.5775</v>
      </c>
    </row>
    <row r="32" customFormat="false" ht="15" hidden="false" customHeight="true" outlineLevel="0" collapsed="false">
      <c r="E32" s="120" t="n">
        <f aca="false">+$C$4</f>
        <v>1421.87508</v>
      </c>
      <c r="F32" s="120" t="n">
        <v>160</v>
      </c>
      <c r="G32" s="6" t="n">
        <f aca="false">+E32/F32</f>
        <v>8.88671925</v>
      </c>
      <c r="H32" s="6" t="n">
        <v>6</v>
      </c>
      <c r="I32" s="6" t="n">
        <f aca="false">+G32/H32</f>
        <v>1.481119875</v>
      </c>
      <c r="J32" s="120" t="n">
        <v>30000</v>
      </c>
      <c r="K32" s="120" t="n">
        <f aca="false">+J32*H32*I32</f>
        <v>266601.5775</v>
      </c>
    </row>
    <row r="33" customFormat="false" ht="15" hidden="false" customHeight="true" outlineLevel="0" collapsed="false">
      <c r="E33" s="120" t="n">
        <f aca="false">+$C$4</f>
        <v>1421.87508</v>
      </c>
      <c r="F33" s="120" t="n">
        <v>160</v>
      </c>
      <c r="G33" s="6" t="n">
        <f aca="false">+E33/F33</f>
        <v>8.88671925</v>
      </c>
      <c r="H33" s="6" t="n">
        <v>7</v>
      </c>
      <c r="I33" s="6" t="n">
        <f aca="false">+G33/H33</f>
        <v>1.26953132142857</v>
      </c>
      <c r="J33" s="120" t="n">
        <v>30000</v>
      </c>
      <c r="K33" s="120" t="n">
        <f aca="false">+J33*H33*I33</f>
        <v>266601.5775</v>
      </c>
    </row>
    <row r="34" customFormat="false" ht="15" hidden="false" customHeight="true" outlineLevel="0" collapsed="false">
      <c r="E34" s="120" t="n">
        <f aca="false">+$C$4</f>
        <v>1421.87508</v>
      </c>
      <c r="F34" s="120" t="n">
        <v>160</v>
      </c>
      <c r="G34" s="6" t="n">
        <f aca="false">+E34/F34</f>
        <v>8.88671925</v>
      </c>
      <c r="H34" s="6" t="n">
        <v>8</v>
      </c>
      <c r="I34" s="6" t="n">
        <f aca="false">+G34/H34</f>
        <v>1.11083990625</v>
      </c>
      <c r="J34" s="120" t="n">
        <v>30000</v>
      </c>
      <c r="K34" s="120" t="n">
        <f aca="false">+J34*H34*I34</f>
        <v>266601.5775</v>
      </c>
    </row>
    <row r="35" customFormat="false" ht="15" hidden="false" customHeight="true" outlineLevel="0" collapsed="false">
      <c r="E35" s="120" t="n">
        <f aca="false">+$C$4</f>
        <v>1421.87508</v>
      </c>
      <c r="F35" s="120" t="n">
        <v>160</v>
      </c>
      <c r="G35" s="6" t="n">
        <f aca="false">+E35/F35</f>
        <v>8.88671925</v>
      </c>
      <c r="H35" s="6" t="n">
        <v>9</v>
      </c>
      <c r="I35" s="6" t="n">
        <f aca="false">+G35/H35</f>
        <v>0.98741325</v>
      </c>
      <c r="J35" s="120" t="n">
        <v>30000</v>
      </c>
      <c r="K35" s="120" t="n">
        <f aca="false">+J35*H35*I35</f>
        <v>266601.5775</v>
      </c>
    </row>
    <row r="37" customFormat="false" ht="15" hidden="false" customHeight="true" outlineLevel="0" collapsed="false">
      <c r="E37" s="127" t="s">
        <v>145</v>
      </c>
      <c r="F37" s="127"/>
      <c r="G37" s="127"/>
      <c r="H37" s="127"/>
      <c r="I37" s="127"/>
      <c r="J37" s="127"/>
      <c r="K37" s="127"/>
    </row>
    <row r="38" customFormat="false" ht="15" hidden="false" customHeight="true" outlineLevel="0" collapsed="false">
      <c r="E38" s="117" t="s">
        <v>138</v>
      </c>
      <c r="F38" s="117" t="s">
        <v>139</v>
      </c>
      <c r="G38" s="117" t="s">
        <v>140</v>
      </c>
      <c r="H38" s="117" t="s">
        <v>141</v>
      </c>
      <c r="I38" s="117" t="s">
        <v>142</v>
      </c>
      <c r="J38" s="117" t="s">
        <v>153</v>
      </c>
      <c r="K38" s="117" t="s">
        <v>150</v>
      </c>
    </row>
    <row r="39" customFormat="false" ht="15" hidden="false" customHeight="true" outlineLevel="0" collapsed="false">
      <c r="E39" s="120" t="n">
        <f aca="false">+$C$5</f>
        <v>2488.28139</v>
      </c>
      <c r="F39" s="120" t="n">
        <v>160</v>
      </c>
      <c r="G39" s="6" t="n">
        <f aca="false">+E39/F39</f>
        <v>15.5517586875</v>
      </c>
      <c r="H39" s="124" t="n">
        <v>2</v>
      </c>
      <c r="I39" s="6" t="n">
        <f aca="false">+G39/H39</f>
        <v>7.77587934375</v>
      </c>
      <c r="J39" s="120" t="n">
        <v>40000</v>
      </c>
      <c r="K39" s="120" t="n">
        <f aca="false">+J39*H39*I39</f>
        <v>622070.3475</v>
      </c>
    </row>
    <row r="40" customFormat="false" ht="15" hidden="false" customHeight="true" outlineLevel="0" collapsed="false">
      <c r="E40" s="120" t="n">
        <f aca="false">+$C$5</f>
        <v>2488.28139</v>
      </c>
      <c r="F40" s="120" t="n">
        <v>160</v>
      </c>
      <c r="G40" s="6" t="n">
        <f aca="false">+E40/F40</f>
        <v>15.5517586875</v>
      </c>
      <c r="H40" s="6" t="n">
        <v>3</v>
      </c>
      <c r="I40" s="6" t="n">
        <f aca="false">+G40/H40</f>
        <v>5.1839195625</v>
      </c>
      <c r="J40" s="120" t="n">
        <v>40000</v>
      </c>
      <c r="K40" s="120" t="n">
        <f aca="false">+J40*H40*I40</f>
        <v>622070.3475</v>
      </c>
    </row>
    <row r="41" customFormat="false" ht="15" hidden="false" customHeight="true" outlineLevel="0" collapsed="false">
      <c r="E41" s="120" t="n">
        <f aca="false">+$C$5</f>
        <v>2488.28139</v>
      </c>
      <c r="F41" s="120" t="n">
        <v>160</v>
      </c>
      <c r="G41" s="6" t="n">
        <f aca="false">+E41/F41</f>
        <v>15.5517586875</v>
      </c>
      <c r="H41" s="9" t="n">
        <v>4</v>
      </c>
      <c r="I41" s="9" t="n">
        <f aca="false">+G41/H41</f>
        <v>3.887939671875</v>
      </c>
      <c r="J41" s="120" t="n">
        <v>40000</v>
      </c>
      <c r="K41" s="120" t="n">
        <f aca="false">+J41*H41*I41</f>
        <v>622070.3475</v>
      </c>
    </row>
    <row r="42" customFormat="false" ht="15" hidden="false" customHeight="true" outlineLevel="0" collapsed="false">
      <c r="E42" s="120" t="n">
        <f aca="false">+$C$5</f>
        <v>2488.28139</v>
      </c>
      <c r="F42" s="120" t="n">
        <v>160</v>
      </c>
      <c r="G42" s="6" t="n">
        <f aca="false">+E42/F42</f>
        <v>15.5517586875</v>
      </c>
      <c r="H42" s="6" t="n">
        <v>5</v>
      </c>
      <c r="I42" s="6" t="n">
        <f aca="false">+G42/H42</f>
        <v>3.1103517375</v>
      </c>
      <c r="J42" s="120" t="n">
        <v>40000</v>
      </c>
      <c r="K42" s="120" t="n">
        <f aca="false">+J42*H42*I42</f>
        <v>622070.3475</v>
      </c>
    </row>
    <row r="43" customFormat="false" ht="15" hidden="false" customHeight="true" outlineLevel="0" collapsed="false">
      <c r="E43" s="120" t="n">
        <f aca="false">+$C$5</f>
        <v>2488.28139</v>
      </c>
      <c r="F43" s="120" t="n">
        <v>160</v>
      </c>
      <c r="G43" s="6" t="n">
        <f aca="false">+E43/F43</f>
        <v>15.5517586875</v>
      </c>
      <c r="H43" s="6" t="n">
        <v>6</v>
      </c>
      <c r="I43" s="6" t="n">
        <f aca="false">+G43/H43</f>
        <v>2.59195978125</v>
      </c>
      <c r="J43" s="120" t="n">
        <v>40000</v>
      </c>
      <c r="K43" s="120" t="n">
        <f aca="false">+J43*H43*I43</f>
        <v>622070.3475</v>
      </c>
    </row>
    <row r="44" customFormat="false" ht="15" hidden="false" customHeight="true" outlineLevel="0" collapsed="false">
      <c r="E44" s="120" t="n">
        <f aca="false">+$C$5</f>
        <v>2488.28139</v>
      </c>
      <c r="F44" s="120" t="n">
        <v>160</v>
      </c>
      <c r="G44" s="6" t="n">
        <f aca="false">+E44/F44</f>
        <v>15.5517586875</v>
      </c>
      <c r="H44" s="6" t="n">
        <v>7</v>
      </c>
      <c r="I44" s="6" t="n">
        <f aca="false">+G44/H44</f>
        <v>2.2216798125</v>
      </c>
      <c r="J44" s="120" t="n">
        <v>40000</v>
      </c>
      <c r="K44" s="120" t="n">
        <f aca="false">+J44*H44*I44</f>
        <v>622070.3475</v>
      </c>
    </row>
    <row r="45" customFormat="false" ht="15" hidden="false" customHeight="true" outlineLevel="0" collapsed="false">
      <c r="E45" s="120" t="n">
        <f aca="false">+$C$5</f>
        <v>2488.28139</v>
      </c>
      <c r="F45" s="120" t="n">
        <v>160</v>
      </c>
      <c r="G45" s="6" t="n">
        <f aca="false">+E45/F45</f>
        <v>15.5517586875</v>
      </c>
      <c r="H45" s="6" t="n">
        <v>8</v>
      </c>
      <c r="I45" s="6" t="n">
        <f aca="false">+G45/H45</f>
        <v>1.9439698359375</v>
      </c>
      <c r="J45" s="120" t="n">
        <v>40000</v>
      </c>
      <c r="K45" s="120" t="n">
        <f aca="false">+J45*H45*I45</f>
        <v>622070.3475</v>
      </c>
    </row>
    <row r="46" customFormat="false" ht="15" hidden="false" customHeight="true" outlineLevel="0" collapsed="false">
      <c r="E46" s="120" t="n">
        <f aca="false">+$C$5</f>
        <v>2488.28139</v>
      </c>
      <c r="F46" s="120" t="n">
        <v>160</v>
      </c>
      <c r="G46" s="6" t="n">
        <f aca="false">+E46/F46</f>
        <v>15.5517586875</v>
      </c>
      <c r="H46" s="6" t="n">
        <v>9</v>
      </c>
      <c r="I46" s="6" t="n">
        <f aca="false">+G46/H46</f>
        <v>1.7279731875</v>
      </c>
      <c r="J46" s="120" t="n">
        <v>40000</v>
      </c>
      <c r="K46" s="120" t="n">
        <f aca="false">+J46*H46*I46</f>
        <v>622070.3475</v>
      </c>
    </row>
    <row r="48" customFormat="false" ht="15" hidden="false" customHeight="true" outlineLevel="0" collapsed="false">
      <c r="E48" s="127" t="s">
        <v>154</v>
      </c>
      <c r="F48" s="127"/>
      <c r="G48" s="127"/>
      <c r="H48" s="127"/>
      <c r="I48" s="127"/>
      <c r="J48" s="127"/>
      <c r="K48" s="127"/>
    </row>
    <row r="49" customFormat="false" ht="15" hidden="false" customHeight="true" outlineLevel="0" collapsed="false">
      <c r="E49" s="117" t="s">
        <v>138</v>
      </c>
      <c r="F49" s="117" t="s">
        <v>139</v>
      </c>
      <c r="G49" s="117" t="s">
        <v>140</v>
      </c>
      <c r="H49" s="117" t="s">
        <v>141</v>
      </c>
      <c r="I49" s="117" t="s">
        <v>142</v>
      </c>
      <c r="J49" s="117" t="s">
        <v>155</v>
      </c>
      <c r="K49" s="117" t="s">
        <v>150</v>
      </c>
    </row>
    <row r="50" customFormat="false" ht="15" hidden="false" customHeight="true" outlineLevel="0" collapsed="false">
      <c r="E50" s="120" t="n">
        <f aca="false">+$C$6</f>
        <v>1421.87508</v>
      </c>
      <c r="F50" s="6" t="n">
        <v>160</v>
      </c>
      <c r="G50" s="6" t="n">
        <f aca="false">+E50/F50</f>
        <v>8.88671925</v>
      </c>
      <c r="H50" s="124" t="n">
        <v>2</v>
      </c>
      <c r="I50" s="6" t="n">
        <f aca="false">+G50/H50</f>
        <v>4.443359625</v>
      </c>
      <c r="J50" s="120" t="n">
        <v>20000</v>
      </c>
      <c r="K50" s="120" t="n">
        <f aca="false">+J50*H50*I50</f>
        <v>177734.385</v>
      </c>
    </row>
    <row r="51" customFormat="false" ht="15" hidden="false" customHeight="true" outlineLevel="0" collapsed="false">
      <c r="E51" s="120" t="n">
        <f aca="false">+$C$6</f>
        <v>1421.87508</v>
      </c>
      <c r="F51" s="6" t="n">
        <v>160</v>
      </c>
      <c r="G51" s="6" t="n">
        <f aca="false">+E51/F51</f>
        <v>8.88671925</v>
      </c>
      <c r="H51" s="6" t="n">
        <v>3</v>
      </c>
      <c r="I51" s="6" t="n">
        <f aca="false">+G51/H51</f>
        <v>2.96223975</v>
      </c>
      <c r="J51" s="120" t="n">
        <v>20000</v>
      </c>
      <c r="K51" s="120" t="n">
        <f aca="false">+J51*H51*I51</f>
        <v>177734.385</v>
      </c>
    </row>
    <row r="52" customFormat="false" ht="15" hidden="false" customHeight="true" outlineLevel="0" collapsed="false">
      <c r="E52" s="120" t="n">
        <f aca="false">+$C$6</f>
        <v>1421.87508</v>
      </c>
      <c r="F52" s="6" t="n">
        <v>160</v>
      </c>
      <c r="G52" s="6" t="n">
        <f aca="false">+E52/F52</f>
        <v>8.88671925</v>
      </c>
      <c r="H52" s="6" t="n">
        <v>4</v>
      </c>
      <c r="I52" s="6" t="n">
        <f aca="false">+G52/H52</f>
        <v>2.2216798125</v>
      </c>
      <c r="J52" s="120" t="n">
        <v>20000</v>
      </c>
      <c r="K52" s="120" t="n">
        <f aca="false">+J52*H52*I52</f>
        <v>177734.385</v>
      </c>
    </row>
    <row r="53" customFormat="false" ht="15" hidden="false" customHeight="true" outlineLevel="0" collapsed="false">
      <c r="E53" s="120" t="n">
        <f aca="false">+$C$6</f>
        <v>1421.87508</v>
      </c>
      <c r="F53" s="6" t="n">
        <v>160</v>
      </c>
      <c r="G53" s="6" t="n">
        <f aca="false">+E53/F53</f>
        <v>8.88671925</v>
      </c>
      <c r="H53" s="9" t="n">
        <v>5</v>
      </c>
      <c r="I53" s="9" t="n">
        <f aca="false">+G53/H53</f>
        <v>1.77734385</v>
      </c>
      <c r="J53" s="120" t="n">
        <v>20000</v>
      </c>
      <c r="K53" s="120" t="n">
        <f aca="false">+J53*H53*I53</f>
        <v>177734.385</v>
      </c>
    </row>
    <row r="54" customFormat="false" ht="15" hidden="false" customHeight="true" outlineLevel="0" collapsed="false">
      <c r="E54" s="120" t="n">
        <f aca="false">+$C$6</f>
        <v>1421.87508</v>
      </c>
      <c r="F54" s="6" t="n">
        <v>160</v>
      </c>
      <c r="G54" s="6" t="n">
        <f aca="false">+E54/F54</f>
        <v>8.88671925</v>
      </c>
      <c r="H54" s="6" t="n">
        <v>6</v>
      </c>
      <c r="I54" s="6" t="n">
        <f aca="false">+G54/H54</f>
        <v>1.481119875</v>
      </c>
      <c r="J54" s="120" t="n">
        <v>20000</v>
      </c>
      <c r="K54" s="120" t="n">
        <f aca="false">+J54*H54*I54</f>
        <v>177734.385</v>
      </c>
    </row>
    <row r="55" customFormat="false" ht="15" hidden="false" customHeight="true" outlineLevel="0" collapsed="false">
      <c r="E55" s="120" t="n">
        <f aca="false">+$C$6</f>
        <v>1421.87508</v>
      </c>
      <c r="F55" s="6" t="n">
        <v>160</v>
      </c>
      <c r="G55" s="6" t="n">
        <f aca="false">+E55/F55</f>
        <v>8.88671925</v>
      </c>
      <c r="H55" s="6" t="n">
        <v>7</v>
      </c>
      <c r="I55" s="6" t="n">
        <f aca="false">+G55/H55</f>
        <v>1.26953132142857</v>
      </c>
      <c r="J55" s="120" t="n">
        <v>20000</v>
      </c>
      <c r="K55" s="120" t="n">
        <f aca="false">+J55*H55*I55</f>
        <v>177734.385</v>
      </c>
    </row>
    <row r="56" customFormat="false" ht="15" hidden="false" customHeight="true" outlineLevel="0" collapsed="false">
      <c r="E56" s="120" t="n">
        <f aca="false">+$C$6</f>
        <v>1421.87508</v>
      </c>
      <c r="F56" s="6" t="n">
        <v>160</v>
      </c>
      <c r="G56" s="6" t="n">
        <f aca="false">+E56/F56</f>
        <v>8.88671925</v>
      </c>
      <c r="H56" s="6" t="n">
        <v>8</v>
      </c>
      <c r="I56" s="6" t="n">
        <f aca="false">+G56/H56</f>
        <v>1.11083990625</v>
      </c>
      <c r="J56" s="120" t="n">
        <v>20000</v>
      </c>
      <c r="K56" s="120" t="n">
        <f aca="false">+J56*H56*I56</f>
        <v>177734.385</v>
      </c>
    </row>
    <row r="57" customFormat="false" ht="15" hidden="false" customHeight="true" outlineLevel="0" collapsed="false">
      <c r="E57" s="120" t="n">
        <f aca="false">+$C$6</f>
        <v>1421.87508</v>
      </c>
      <c r="F57" s="6" t="n">
        <v>160</v>
      </c>
      <c r="G57" s="6" t="n">
        <f aca="false">+E57/F57</f>
        <v>8.88671925</v>
      </c>
      <c r="H57" s="6" t="n">
        <v>9</v>
      </c>
      <c r="I57" s="6" t="n">
        <f aca="false">+G57/H57</f>
        <v>0.98741325</v>
      </c>
      <c r="J57" s="120" t="n">
        <v>20000</v>
      </c>
      <c r="K57" s="120" t="n">
        <f aca="false">+J57*H57*I57</f>
        <v>177734.385</v>
      </c>
    </row>
  </sheetData>
  <mergeCells count="5">
    <mergeCell ref="A1:C1"/>
    <mergeCell ref="E13:K13"/>
    <mergeCell ref="E25:K25"/>
    <mergeCell ref="E37:K37"/>
    <mergeCell ref="E48:K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2019-08-18T21:32:48Z</dcterms:created>
  <dc:creator>Jsilva</dc:creator>
  <dc:description/>
  <dc:language>en-US</dc:language>
  <cp:lastModifiedBy>Jsilva</cp:lastModifiedBy>
  <dcterms:modified xsi:type="dcterms:W3CDTF">2026-09-04T07:30:01Z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